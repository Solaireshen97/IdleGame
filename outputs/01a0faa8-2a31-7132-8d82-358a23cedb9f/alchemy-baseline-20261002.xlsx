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7146f48a2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值总览" sheetId="1" r:id="R2be6b065a4354b9e"/>
    <x:sheet xmlns:r="http://schemas.openxmlformats.org/officeDocument/2006/relationships" name="药效" sheetId="2" r:id="R874c65e4829b44c2"/>
    <x:sheet xmlns:r="http://schemas.openxmlformats.org/officeDocument/2006/relationships" name="药田" sheetId="3" r:id="Rf4fe7a4286554f34"/>
    <x:sheet xmlns:r="http://schemas.openxmlformats.org/officeDocument/2006/relationships" name="配方" sheetId="4" r:id="Rfeb296323f7d4898"/>
    <x:sheet xmlns:r="http://schemas.openxmlformats.org/officeDocument/2006/relationships" name="使用规则" sheetId="5" r:id="Rf5d6a93072d3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0.00"/>
    <x:numFmt numFmtId="203" formatCode="0.0%"/>
  </x:numFmts>
  <x:fonts count="9">
    <x:font>
      <x:sz val="11"/>
      <x:name val="Carlito"/>
    </x:font>
    <x:font>
      <x:sz val="10"/>
      <x:color rgb="FF26384B"/>
      <x:name val="Microsoft YaHei"/>
    </x:font>
    <x:font>
      <x:b/>
      <x:sz val="18"/>
      <x:color rgb="FF183248"/>
      <x:name val="Microsoft YaHei"/>
    </x:font>
    <x:font>
      <x:sz val="9"/>
      <x:color rgb="FF68798B"/>
      <x:name val="Microsoft YaHei"/>
    </x:font>
    <x:font>
      <x:b/>
      <x:sz val="10"/>
      <x:color rgb="FFFFFFFF"/>
      <x:name val="Microsoft YaHei"/>
    </x:font>
    <x:font>
      <x:b/>
      <x:sz val="10"/>
      <x:color rgb="FF1763A5"/>
      <x:name val="Microsoft YaHei"/>
    </x:font>
    <x:font>
      <x:sz val="10"/>
      <x:color rgb="FF1763A5"/>
      <x:name val="Microsoft YaHei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0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201" fontId="6" fillId="3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0a97e84e0416c" /><Relationship Type="http://schemas.openxmlformats.org/officeDocument/2006/relationships/theme" Target="/xl/theme/theme1.xml" Id="Rc519bee6c40b41ea" /><Relationship Type="http://schemas.openxmlformats.org/officeDocument/2006/relationships/sharedStrings" Target="/xl/sharedStrings.xml" Id="Rd002bb6c9bd0490f" /><Relationship Type="http://schemas.openxmlformats.org/officeDocument/2006/relationships/worksheet" Target="/xl/worksheets/sheet1.xml" Id="R2be6b065a4354b9e" /><Relationship Type="http://schemas.openxmlformats.org/officeDocument/2006/relationships/worksheet" Target="/xl/worksheets/sheet2.xml" Id="R874c65e4829b44c2" /><Relationship Type="http://schemas.openxmlformats.org/officeDocument/2006/relationships/worksheet" Target="/xl/worksheets/sheet3.xml" Id="Rf4fe7a4286554f34" /><Relationship Type="http://schemas.openxmlformats.org/officeDocument/2006/relationships/worksheet" Target="/xl/worksheets/sheet4.xml" Id="Rfeb296323f7d4898" /><Relationship Type="http://schemas.openxmlformats.org/officeDocument/2006/relationships/worksheet" Target="/xl/worksheets/sheet5.xml" Id="Rf5d6a93072d3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40" hidden="0" customWidth="1"/>
    <x:col min="3" max="3" width="40" hidden="0" customWidth="1"/>
    <x:col min="4" max="4" width="40" hidden="0" customWidth="1"/>
    <x:col min="5" max="5" width="43" hidden="0" customWidth="1"/>
    <x:col min="6" max="6" width="12" hidden="0" customWidth="1"/>
    <x:col min="7" max="7" width="16" hidden="0" customWidth="1"/>
    <x:col min="8" max="8" width="14" hidden="0" customWidth="1"/>
    <x:col min="9" max="9" width="5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6" customHeight="1">
      <x:c r="A2" s="3" t="str">
        <x:v>草药与炼金 · 当前数值基线</x:v>
      </x:c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4" t="str">
        <x:v>工作区现状，2026-10-02。完整原始数值及执行规则见后续页；本次只整理，尚未调整游戏数值。</x:v>
      </x:c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药剂</x:v>
      </x:c>
      <x:c r="B5" s="7" t="str">
        <x:v>次级效果</x:v>
      </x:c>
      <x:c r="C5" s="7" t="str">
        <x:v>普通效果</x:v>
      </x:c>
      <x:c r="D5" s="7" t="str">
        <x:v>强效效果</x:v>
      </x:c>
      <x:c r="E5" s="7" t="str">
        <x:v>普通配方/批</x:v>
      </x:c>
      <x:c r="F5" s="7" t="str">
        <x:v>金耗/瓶</x:v>
      </x:c>
      <x:c r="G5" s="7" t="str">
        <x:v>四田瓶/小时</x:v>
      </x:c>
      <x:c r="H5" s="7" t="str">
        <x:v>次级商店价</x:v>
      </x:c>
      <x:c r="I5" s="7" t="str">
        <x:v>比较与关注点</x:v>
      </x:c>
    </x:row>
    <x:row r="6" ht="72" customHeight="1">
      <x:c r="A6" s="9" t="str">
        <x:v>小型治疗药水</x:v>
      </x:c>
      <x:c r="B6" s="9" t="str">
        <x:f>'药效'!D6</x:f>
        <x:v>14 HP＋最大生命 5%</x:v>
      </x:c>
      <x:c r="C6" s="9" t="str">
        <x:f>'药效'!D7</x:f>
        <x:v>20 HP＋最大生命 8%</x:v>
      </x:c>
      <x:c r="D6" s="9" t="str">
        <x:v>无此档</x:v>
      </x:c>
      <x:c r="E6" s="9" t="str">
        <x:v>宁神花×2 → 1瓶</x:v>
      </x:c>
      <x:c r="F6" s="16" t="n">
        <x:f>'配方'!L6</x:f>
        <x:v>6</x:v>
      </x:c>
      <x:c r="G6" s="16" t="n">
        <x:f>'配方'!N6</x:f>
        <x:v>20</x:v>
      </x:c>
      <x:c r="H6" s="16" t="n">
        <x:f>'药效'!E6</x:f>
        <x:v>4</x:v>
      </x:c>
      <x:c r="I6" s="9" t="str">
        <x:v>普通成本 6 金，次级商价 4 金；普通固定治疗与比例治疗更高。</x:v>
      </x:c>
    </x:row>
    <x:row r="7" ht="72" customHeight="1">
      <x:c r="A7" s="10" t="str">
        <x:v>岩芽战意药剂</x:v>
      </x:c>
      <x:c r="B7" s="10" t="str">
        <x:f>'药效'!D8</x:f>
        <x:v>攻击＋10%</x:v>
      </x:c>
      <x:c r="C7" s="10" t="str">
        <x:f>'药效'!D9</x:f>
        <x:v>攻击＋15%</x:v>
      </x:c>
      <x:c r="D7" s="10" t="str">
        <x:v>无此档</x:v>
      </x:c>
      <x:c r="E7" s="10" t="str">
        <x:v>宁神花×3 → 1瓶</x:v>
      </x:c>
      <x:c r="F7" s="17" t="n">
        <x:f>'配方'!L7</x:f>
        <x:v>9</x:v>
      </x:c>
      <x:c r="G7" s="17" t="n">
        <x:f>'配方'!N7</x:f>
        <x:v>13.333333333333334</x:v>
      </x:c>
      <x:c r="H7" s="17" t="n">
        <x:f>'药效'!E8</x:f>
        <x:v>8</x:v>
      </x:c>
      <x:c r="I7" s="10" t="str">
        <x:v>攻击 +15%，每场 1 瓶；成本 9 金。</x:v>
      </x:c>
    </x:row>
    <x:row r="8" ht="72" customHeight="1">
      <x:c r="A8" s="9" t="str">
        <x:v>行旅治疗药水</x:v>
      </x:c>
      <x:c r="B8" s="9" t="str">
        <x:f>'药效'!D10</x:f>
        <x:v>25 HP＋最大生命 7%</x:v>
      </x:c>
      <x:c r="C8" s="9" t="str">
        <x:f>'药效'!D11</x:f>
        <x:v>35 HP＋最大生命 10%</x:v>
      </x:c>
      <x:c r="D8" s="9" t="str">
        <x:v>无此档</x:v>
      </x:c>
      <x:c r="E8" s="9" t="str">
        <x:v>宁神花×2 → 2瓶</x:v>
      </x:c>
      <x:c r="F8" s="16" t="n">
        <x:f>'配方'!L9</x:f>
        <x:v>3</x:v>
      </x:c>
      <x:c r="G8" s="16" t="n">
        <x:f>'配方'!N9</x:f>
        <x:v>40</x:v>
      </x:c>
      <x:c r="H8" s="16" t="n">
        <x:f>'药效'!E10</x:f>
        <x:v>8</x:v>
      </x:c>
      <x:c r="I8" s="9" t="str">
        <x:v>每批 2 瓶使单位金耗降为 3 金；比小型药水更强也更便宜。</x:v>
      </x:c>
    </x:row>
    <x:row r="9" ht="72" customHeight="1">
      <x:c r="A9" s="10" t="str">
        <x:v>磨刃药油</x:v>
      </x:c>
      <x:c r="B9" s="10" t="str">
        <x:f>'药效'!D12</x:f>
        <x:v>攻击中 Lv2</x:v>
      </x:c>
      <x:c r="C9" s="10" t="str">
        <x:f>'药效'!D13</x:f>
        <x:v>攻击中 Lv3</x:v>
      </x:c>
      <x:c r="D9" s="10" t="str">
        <x:v>无此档</x:v>
      </x:c>
      <x:c r="E9" s="10" t="str">
        <x:v>宁神花×2 → 1瓶</x:v>
      </x:c>
      <x:c r="F9" s="17" t="n">
        <x:f>'配方'!L8</x:f>
        <x:v>6</x:v>
      </x:c>
      <x:c r="G9" s="17" t="n">
        <x:f>'配方'!N8</x:f>
        <x:v>20</x:v>
      </x:c>
      <x:c r="H9" s="17" t="n">
        <x:f>'药效'!E12</x:f>
        <x:v>10</x:v>
      </x:c>
      <x:c r="I9" s="10" t="str">
        <x:v>Lv3 折算攻击 +7.5%，持续 3 回合、实际间隔 6 回合。</x:v>
      </x:c>
    </x:row>
    <x:row r="10" ht="72" customHeight="1">
      <x:c r="A10" s="9" t="str">
        <x:v>强攻合剂</x:v>
      </x:c>
      <x:c r="B10" s="9" t="str">
        <x:f>'药效'!D14</x:f>
        <x:v>攻击＋12%</x:v>
      </x:c>
      <x:c r="C10" s="9" t="str">
        <x:f>'药效'!D15</x:f>
        <x:v>攻击＋20%</x:v>
      </x:c>
      <x:c r="D10" s="9" t="str">
        <x:f>'药效'!D16</x:f>
        <x:v>攻击＋30%</x:v>
      </x:c>
      <x:c r="E10" s="9" t="str">
        <x:v>宁神花×2＋银叶草×1 → 1瓶</x:v>
      </x:c>
      <x:c r="F10" s="16" t="n">
        <x:f>'配方'!L10</x:f>
        <x:v>18</x:v>
      </x:c>
      <x:c r="G10" s="16" t="n">
        <x:f>'配方'!N10</x:f>
        <x:v>8.88888888888889</x:v>
      </x:c>
      <x:c r="H10" s="16" t="n">
        <x:f>'药效'!E14</x:f>
        <x:v>12</x:v>
      </x:c>
      <x:c r="I10" s="9" t="str">
        <x:v>攻击区加成；普通种子金耗 18 金。</x:v>
      </x:c>
    </x:row>
    <x:row r="11" ht="72" customHeight="1">
      <x:c r="A11" s="10" t="str">
        <x:v>暮影药剂</x:v>
      </x:c>
      <x:c r="B11" s="10" t="str">
        <x:f>'药效'!D17</x:f>
        <x:v>背水中 Lv2</x:v>
      </x:c>
      <x:c r="C11" s="10" t="str">
        <x:f>'药效'!D18</x:f>
        <x:v>背水中 Lv3</x:v>
      </x:c>
      <x:c r="D11" s="10" t="str">
        <x:f>'药效'!D19</x:f>
        <x:v>背水中 Lv5</x:v>
      </x:c>
      <x:c r="E11" s="10" t="str">
        <x:v>宁神花×1＋墓影藤×1 → 1瓶</x:v>
      </x:c>
      <x:c r="F11" s="17" t="n">
        <x:f>'配方'!L12</x:f>
        <x:v>15</x:v>
      </x:c>
      <x:c r="G11" s="17" t="n">
        <x:f>'配方'!N12</x:f>
        <x:v>11.428571428571429</x:v>
      </x:c>
      <x:c r="H11" s="17" t="n">
        <x:f>'药效'!E17</x:f>
        <x:v>10</x:v>
      </x:c>
      <x:c r="I11" s="10" t="str">
        <x:v>背水低血量触发；自动使用固定 HP≤50%，50% HP 时增伤为零。</x:v>
      </x:c>
    </x:row>
    <x:row r="12" ht="72" customHeight="1">
      <x:c r="A12" s="9" t="str">
        <x:v>燃血合剂</x:v>
      </x:c>
      <x:c r="B12" s="9" t="str">
        <x:f>'药效'!D20</x:f>
        <x:v>最终伤害＋10%；承伤参数＋5%</x:v>
      </x:c>
      <x:c r="C12" s="9" t="str">
        <x:f>'药效'!D21</x:f>
        <x:v>最终伤害＋15%；承伤参数＋5%</x:v>
      </x:c>
      <x:c r="D12" s="9" t="str">
        <x:f>'药效'!D22</x:f>
        <x:v>最终伤害＋23%；承伤参数＋5%</x:v>
      </x:c>
      <x:c r="E12" s="9" t="str">
        <x:v>宁神花×2＋火棘花×1 → 1瓶</x:v>
      </x:c>
      <x:c r="F12" s="16" t="n">
        <x:f>'配方'!L14</x:f>
        <x:v>18</x:v>
      </x:c>
      <x:c r="G12" s="16" t="n">
        <x:f>'配方'!N14</x:f>
        <x:v>8.88888888888889</x:v>
      </x:c>
      <x:c r="H12" s="16" t="n">
        <x:f>'药效'!E20</x:f>
        <x:v>12</x:v>
      </x:c>
      <x:c r="I12" s="9" t="str">
        <x:v>最终伤害区加成；承伤参数实际从减伤中减 5 个百分点。</x:v>
      </x:c>
    </x:row>
    <x:row r="13" ht="72" customHeight="1">
      <x:c r="A13" s="10" t="str">
        <x:v>坚韧药剂</x:v>
      </x:c>
      <x:c r="B13" s="10" t="str">
        <x:f>'药效'!D23</x:f>
        <x:v>神威 Lv2</x:v>
      </x:c>
      <x:c r="C13" s="10" t="str">
        <x:f>'药效'!D24</x:f>
        <x:v>神威 Lv3</x:v>
      </x:c>
      <x:c r="D13" s="10" t="str">
        <x:f>'药效'!D25</x:f>
        <x:v>神威 Lv5</x:v>
      </x:c>
      <x:c r="E13" s="10" t="str">
        <x:v>宁神花×1＋镜泉根×1 → 1瓶</x:v>
      </x:c>
      <x:c r="F13" s="17" t="n">
        <x:f>'配方'!L16</x:f>
        <x:v>15</x:v>
      </x:c>
      <x:c r="G13" s="17" t="n">
        <x:f>'配方'!N16</x:f>
        <x:v>11.428571428571429</x:v>
      </x:c>
      <x:c r="H13" s="17" t="n">
        <x:f>'药效'!E23</x:f>
        <x:v>10</x:v>
      </x:c>
      <x:c r="I13" s="10" t="str">
        <x:v>普通 Lv3：攻击 +4.5%、最大生命 +6%；增加血上限不会治疗。</x:v>
      </x:c>
    </x:row>
    <x:row r="14" ht="72" customHeight="1">
      <x:c r="A14" s="9" t="str">
        <x:v>猎风合剂</x:v>
      </x:c>
      <x:c r="B14" s="9" t="str">
        <x:f>'药效'!D26</x:f>
        <x:v>普攻＋8%；群攻减伤＋6%</x:v>
      </x:c>
      <x:c r="C14" s="9" t="str">
        <x:f>'药效'!D27</x:f>
        <x:v>普攻＋12%；群攻减伤＋10%</x:v>
      </x:c>
      <x:c r="D14" s="9" t="str">
        <x:f>'药效'!D28</x:f>
        <x:v>普攻＋18%；群攻减伤＋15%</x:v>
      </x:c>
      <x:c r="E14" s="9" t="str">
        <x:v>宁神花×2＋风铃草×1 → 1瓶</x:v>
      </x:c>
      <x:c r="F14" s="16" t="n">
        <x:f>'配方'!L18</x:f>
        <x:v>18</x:v>
      </x:c>
      <x:c r="G14" s="16" t="n">
        <x:f>'配方'!N18</x:f>
        <x:v>8.88888888888889</x:v>
      </x:c>
      <x:c r="H14" s="16" t="n">
        <x:f>'药效'!E26</x:f>
        <x:v>12</x:v>
      </x:c>
      <x:c r="I14" s="9" t="str">
        <x:v>普攻伤害与群攻减伤组合；价值依角色输出构成及副本机制。</x:v>
      </x:c>
    </x:row>
    <x:row r="15" ht="72" customHeight="1">
      <x:c r="A15" s="10" t="str">
        <x:v>晨光灵感药剂</x:v>
      </x:c>
      <x:c r="B15" s="10" t="str">
        <x:f>'药效'!D29</x:f>
        <x:v>战技 Lv2</x:v>
      </x:c>
      <x:c r="C15" s="10" t="str">
        <x:f>'药效'!D30</x:f>
        <x:v>战技 Lv3</x:v>
      </x:c>
      <x:c r="D15" s="10" t="str">
        <x:f>'药效'!D31</x:f>
        <x:v>战技 Lv5</x:v>
      </x:c>
      <x:c r="E15" s="10" t="str">
        <x:v>宁神花×1＋晨光花×1 → 1瓶</x:v>
      </x:c>
      <x:c r="F15" s="17" t="n">
        <x:f>'配方'!L20</x:f>
        <x:v>15</x:v>
      </x:c>
      <x:c r="G15" s="17" t="n">
        <x:f>'配方'!N20</x:f>
        <x:v>11.428571428571429</x:v>
      </x:c>
      <x:c r="H15" s="17" t="n">
        <x:f>'药效'!E29</x:f>
        <x:v>10</x:v>
      </x:c>
      <x:c r="I15" s="10" t="str">
        <x:v>普通 Lv3：攻击 +4.5%、技能伤害 +3%；持续 3 回合。</x:v>
      </x:c>
    </x:row>
    <x:row r="16" ht="30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30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42" customHeight="1">
      <x:c r="A18" s="2" t="str">
        <x:v>供给口径</x:v>
      </x:c>
      <x:c r="B18" s="10" t="str">
        <x:v>四田供给是按配方分配土地的长期理想平均；不含漏收、停种、种子不足。强效药剂还受稀有种子掉落限制。</x:v>
      </x:c>
      <x:c r="C18" s="10"/>
      <x:c r="D18" s="10"/>
      <x:c r="E18" s="10"/>
      <x:c r="F18" s="10"/>
      <x:c r="G18" s="10"/>
      <x:c r="H18" s="10"/>
      <x:c r="I18" s="10"/>
    </x:row>
    <x:row r="19" ht="30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42" customHeight="1">
      <x:c r="A20" s="2" t="str">
        <x:v>当前结构</x:v>
      </x:c>
      <x:c r="B20" s="10" t="str">
        <x:v>13 种草药，17 个配方，26 种消耗品；商店出售 10 种次级药剂、7 种普通种子。</x:v>
      </x:c>
      <x:c r="C20" s="10"/>
      <x:c r="D20" s="10"/>
      <x:c r="E20" s="10"/>
      <x:c r="F20" s="10"/>
      <x:c r="G20" s="10"/>
      <x:c r="H20" s="10"/>
      <x:c r="I20" s="10"/>
    </x:row>
    <x:row r="21" ht="42" customHeight="1">
      <x:c r="A21" s="2" t="str">
        <x:v>种植成本</x:v>
      </x:c>
      <x:c r="B21" s="10" t="str">
        <x:v>宁神花 3 金/株，区域特色草 12 金/株。强效配方已知种子金耗 15 金/瓶，另加稀有材料价值。</x:v>
      </x:c>
      <x:c r="C21" s="10"/>
      <x:c r="D21" s="10"/>
      <x:c r="E21" s="10"/>
      <x:c r="F21" s="10"/>
      <x:c r="G21" s="10"/>
      <x:c r="H21" s="10"/>
      <x:c r="I21" s="10"/>
    </x:row>
    <x:row r="22" ht="42" customHeight="1">
      <x:c r="A22" s="2" t="str">
        <x:v>供给与消耗</x:v>
      </x:c>
      <x:c r="B22" s="10" t="str">
        <x:v>普通区域强化剂供给约 11.43 瓶/小时；长战斗中自动使用约 30 瓶/小时，需提前备货。新开副本会重置冷却，短副本另按实际通关速度计算。</x:v>
      </x:c>
      <x:c r="C22" s="10"/>
      <x:c r="D22" s="10"/>
      <x:c r="E22" s="10"/>
      <x:c r="F22" s="10"/>
      <x:c r="G22" s="10"/>
      <x:c r="H22" s="10"/>
      <x:c r="I22" s="10"/>
    </x:row>
    <x:row r="23" ht="30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42" customHeight="1">
      <x:c r="A24" s="2" t="str">
        <x:v>建议调整顺序</x:v>
      </x:c>
      <x:c r="B24" s="10" t="str">
        <x:v>先确定各类药剂应提供的额外收益，再确定可接受的使用频率，最后调整配方、产量、成熟时间和金币消耗。</x:v>
      </x:c>
      <x:c r="C24" s="10"/>
      <x:c r="D24" s="10"/>
      <x:c r="E24" s="10"/>
      <x:c r="F24" s="10"/>
      <x:c r="G24" s="10"/>
      <x:c r="H24" s="10"/>
      <x:c r="I24" s="10"/>
    </x:row>
    <x:row r="25" ht="30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30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30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30" customHeight="1">
      <x:c r="A32" s="2"/>
      <x:c r="B32" s="2"/>
      <x:c r="C32" s="2"/>
      <x:c r="D32" s="2"/>
      <x:c r="E32" s="2"/>
      <x:c r="F32" s="2"/>
      <x:c r="G32" s="2"/>
      <x:c r="H32" s="2"/>
      <x:c r="I32" s="2"/>
    </x:row>
  </x:sheetData>
  <x:mergeCells>
    <x:mergeCell ref="B18:I18"/>
    <x:mergeCell ref="B20:I20"/>
    <x:mergeCell ref="B21:I21"/>
    <x:mergeCell ref="B22:I22"/>
    <x:mergeCell ref="B24:I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10" hidden="0" customWidth="1"/>
    <x:col min="3" max="3" width="13" hidden="0" customWidth="1"/>
    <x:col min="4" max="4" width="57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8" hidden="0" customWidth="1"/>
    <x:col min="17" max="17" width="12" hidden="0" customWidth="1"/>
    <x:col min="18" max="18" width="10" hidden="0" customWidth="1"/>
    <x:col min="19" max="19" width="20" hidden="0" customWidth="1"/>
    <x:col min="20" max="20" width="39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6" customHeight="1">
      <x:c r="A2" s="3" t="str">
        <x:v>药水与合剂的三档效果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4" t="str">
        <x:v>来源：当前 Consumables / Shop 配置；全部为 T1。效果概述为当前数值快照，完整原始字段在右侧。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2" customHeight="1">
      <x:c r="A5" s="7" t="str">
        <x:v>家族</x:v>
      </x:c>
      <x:c r="B5" s="7" t="str">
        <x:v>档位</x:v>
      </x:c>
      <x:c r="C5" s="7" t="str">
        <x:v>用途</x:v>
      </x:c>
      <x:c r="D5" s="7" t="str">
        <x:v>效果概述（基准快照）</x:v>
      </x:c>
      <x:c r="E5" s="7" t="str">
        <x:v>商店价/金</x:v>
      </x:c>
      <x:c r="F5" s="7" t="str">
        <x:v>持续回合</x:v>
      </x:c>
      <x:c r="G5" s="7" t="str">
        <x:v>冷却回合</x:v>
      </x:c>
      <x:c r="H5" s="7" t="str">
        <x:v>间隔回合</x:v>
      </x:c>
      <x:c r="I5" s="7" t="str">
        <x:v>固定治疗</x:v>
      </x:c>
      <x:c r="J5" s="7" t="str">
        <x:v>最大HP治疗</x:v>
      </x:c>
      <x:c r="K5" s="7" t="str">
        <x:v>攻击加成</x:v>
      </x:c>
      <x:c r="L5" s="7" t="str">
        <x:v>最终伤害</x:v>
      </x:c>
      <x:c r="M5" s="7" t="str">
        <x:v>普攻加成</x:v>
      </x:c>
      <x:c r="N5" s="7" t="str">
        <x:v>群攻减伤</x:v>
      </x:c>
      <x:c r="O5" s="7" t="str">
        <x:v>承伤参数</x:v>
      </x:c>
      <x:c r="P5" s="7" t="str">
        <x:v>武器技能</x:v>
      </x:c>
      <x:c r="Q5" s="7" t="str">
        <x:v>技能等级</x:v>
      </x:c>
      <x:c r="R5" s="7" t="str">
        <x:v>Tier</x:v>
      </x:c>
      <x:c r="S5" s="7" t="str">
        <x:v>冷却组</x:v>
      </x:c>
      <x:c r="T5" s="7" t="str">
        <x:v>产物代码</x:v>
      </x:c>
    </x:row>
    <x:row r="6" ht="46" customHeight="1">
      <x:c r="A6" s="9" t="str">
        <x:v>小型治疗药水</x:v>
      </x:c>
      <x:c r="B6" s="9" t="str">
        <x:v>次级</x:v>
      </x:c>
      <x:c r="C6" s="9" t="str">
        <x:v>治疗药水</x:v>
      </x:c>
      <x:c r="D6" s="9" t="str">
        <x:v>14 HP＋最大生命 5%</x:v>
      </x:c>
      <x:c r="E6" s="9" t="n">
        <x:v>4</x:v>
      </x:c>
      <x:c r="F6" s="9" t="n">
        <x:v>0</x:v>
      </x:c>
      <x:c r="G6" s="9" t="n">
        <x:v>3</x:v>
      </x:c>
      <x:c r="H6" s="9" t="n">
        <x:f>G6+1</x:f>
        <x:v>4</x:v>
      </x:c>
      <x:c r="I6" s="12" t="n">
        <x:v>14</x:v>
      </x:c>
      <x:c r="J6" s="24" t="n">
        <x:v>0.05</x:v>
      </x:c>
      <x:c r="K6" s="24" t="n">
        <x:v>0</x:v>
      </x:c>
      <x:c r="L6" s="24" t="n">
        <x:v>0</x:v>
      </x:c>
      <x:c r="M6" s="24" t="n">
        <x:v>0</x:v>
      </x:c>
      <x:c r="N6" s="24" t="n">
        <x:v>0</x:v>
      </x:c>
      <x:c r="O6" s="24" t="n">
        <x:v>0</x:v>
      </x:c>
      <x:c r="P6" s="19" t="str">
        <x:v>—</x:v>
      </x:c>
      <x:c r="Q6" s="19" t="n">
        <x:v>0</x:v>
      </x:c>
      <x:c r="R6" s="19" t="n">
        <x:v>1</x:v>
      </x:c>
      <x:c r="S6" s="19" t="str">
        <x:v>healing</x:v>
      </x:c>
      <x:c r="T6" s="9" t="str">
        <x:v>lesser-minor-healing-potion</x:v>
      </x:c>
    </x:row>
    <x:row r="7" ht="46" customHeight="1">
      <x:c r="A7" s="10" t="str">
        <x:v>小型治疗药水</x:v>
      </x:c>
      <x:c r="B7" s="10" t="str">
        <x:v>普通</x:v>
      </x:c>
      <x:c r="C7" s="10" t="str">
        <x:v>治疗药水</x:v>
      </x:c>
      <x:c r="D7" s="10" t="str">
        <x:v>20 HP＋最大生命 8%</x:v>
      </x:c>
      <x:c r="E7" s="10" t="str">
        <x:v>不出售</x:v>
      </x:c>
      <x:c r="F7" s="10" t="n">
        <x:v>0</x:v>
      </x:c>
      <x:c r="G7" s="10" t="n">
        <x:v>3</x:v>
      </x:c>
      <x:c r="H7" s="10" t="n">
        <x:f>G7+1</x:f>
        <x:v>4</x:v>
      </x:c>
      <x:c r="I7" s="13" t="n">
        <x:v>20</x:v>
      </x:c>
      <x:c r="J7" s="25" t="n">
        <x:v>0.08</x:v>
      </x:c>
      <x:c r="K7" s="25" t="n">
        <x:v>0</x:v>
      </x:c>
      <x:c r="L7" s="25" t="n">
        <x:v>0</x:v>
      </x:c>
      <x:c r="M7" s="25" t="n">
        <x:v>0</x:v>
      </x:c>
      <x:c r="N7" s="25" t="n">
        <x:v>0</x:v>
      </x:c>
      <x:c r="O7" s="25" t="n">
        <x:v>0</x:v>
      </x:c>
      <x:c r="P7" s="22" t="str">
        <x:v>—</x:v>
      </x:c>
      <x:c r="Q7" s="22" t="n">
        <x:v>0</x:v>
      </x:c>
      <x:c r="R7" s="22" t="n">
        <x:v>1</x:v>
      </x:c>
      <x:c r="S7" s="22" t="str">
        <x:v>healing</x:v>
      </x:c>
      <x:c r="T7" s="10" t="str">
        <x:v>minor-healing-potion</x:v>
      </x:c>
    </x:row>
    <x:row r="8" ht="46" customHeight="1">
      <x:c r="A8" s="9" t="str">
        <x:v>岩芽战意药剂</x:v>
      </x:c>
      <x:c r="B8" s="9" t="str">
        <x:v>次级</x:v>
      </x:c>
      <x:c r="C8" s="9" t="str">
        <x:v>整场合剂</x:v>
      </x:c>
      <x:c r="D8" s="9" t="str">
        <x:v>攻击＋10%</x:v>
      </x:c>
      <x:c r="E8" s="9" t="n">
        <x:v>8</x:v>
      </x:c>
      <x:c r="F8" s="9" t="str">
        <x:v>整场</x:v>
      </x:c>
      <x:c r="G8" s="9" t="n">
        <x:v>0</x:v>
      </x:c>
      <x:c r="H8" s="9" t="str">
        <x:v>每场1瓶</x:v>
      </x:c>
      <x:c r="I8" s="12" t="n">
        <x:v>0</x:v>
      </x:c>
      <x:c r="J8" s="24" t="n">
        <x:v>0</x:v>
      </x:c>
      <x:c r="K8" s="24" t="n">
        <x:v>0.1</x:v>
      </x:c>
      <x:c r="L8" s="24" t="n">
        <x:v>0</x:v>
      </x:c>
      <x:c r="M8" s="24" t="n">
        <x:v>0</x:v>
      </x:c>
      <x:c r="N8" s="24" t="n">
        <x:v>0</x:v>
      </x:c>
      <x:c r="O8" s="24" t="n">
        <x:v>0</x:v>
      </x:c>
      <x:c r="P8" s="19" t="str">
        <x:v>—</x:v>
      </x:c>
      <x:c r="Q8" s="19" t="n">
        <x:v>0</x:v>
      </x:c>
      <x:c r="R8" s="19" t="n">
        <x:v>1</x:v>
      </x:c>
      <x:c r="S8" s="19" t="str">
        <x:v>—</x:v>
      </x:c>
      <x:c r="T8" s="9" t="str">
        <x:v>lesser-northshire-battle-draught</x:v>
      </x:c>
    </x:row>
    <x:row r="9" ht="46" customHeight="1">
      <x:c r="A9" s="10" t="str">
        <x:v>岩芽战意药剂</x:v>
      </x:c>
      <x:c r="B9" s="10" t="str">
        <x:v>普通</x:v>
      </x:c>
      <x:c r="C9" s="10" t="str">
        <x:v>整场合剂</x:v>
      </x:c>
      <x:c r="D9" s="10" t="str">
        <x:v>攻击＋15%</x:v>
      </x:c>
      <x:c r="E9" s="10" t="str">
        <x:v>不出售</x:v>
      </x:c>
      <x:c r="F9" s="10" t="str">
        <x:v>整场</x:v>
      </x:c>
      <x:c r="G9" s="10" t="n">
        <x:v>0</x:v>
      </x:c>
      <x:c r="H9" s="10" t="str">
        <x:v>每场1瓶</x:v>
      </x:c>
      <x:c r="I9" s="13" t="n">
        <x:v>0</x:v>
      </x:c>
      <x:c r="J9" s="25" t="n">
        <x:v>0</x:v>
      </x:c>
      <x:c r="K9" s="25" t="n">
        <x:v>0.15</x:v>
      </x:c>
      <x:c r="L9" s="25" t="n">
        <x:v>0</x:v>
      </x:c>
      <x:c r="M9" s="25" t="n">
        <x:v>0</x:v>
      </x:c>
      <x:c r="N9" s="25" t="n">
        <x:v>0</x:v>
      </x:c>
      <x:c r="O9" s="25" t="n">
        <x:v>0</x:v>
      </x:c>
      <x:c r="P9" s="22" t="str">
        <x:v>—</x:v>
      </x:c>
      <x:c r="Q9" s="22" t="n">
        <x:v>0</x:v>
      </x:c>
      <x:c r="R9" s="22" t="n">
        <x:v>1</x:v>
      </x:c>
      <x:c r="S9" s="22" t="str">
        <x:v>—</x:v>
      </x:c>
      <x:c r="T9" s="10" t="str">
        <x:v>northshire-battle-draught</x:v>
      </x:c>
    </x:row>
    <x:row r="10" ht="46" customHeight="1">
      <x:c r="A10" s="9" t="str">
        <x:v>行旅治疗药水</x:v>
      </x:c>
      <x:c r="B10" s="9" t="str">
        <x:v>次级</x:v>
      </x:c>
      <x:c r="C10" s="9" t="str">
        <x:v>治疗药水</x:v>
      </x:c>
      <x:c r="D10" s="9" t="str">
        <x:v>25 HP＋最大生命 7%</x:v>
      </x:c>
      <x:c r="E10" s="9" t="n">
        <x:v>8</x:v>
      </x:c>
      <x:c r="F10" s="9" t="n">
        <x:v>0</x:v>
      </x:c>
      <x:c r="G10" s="9" t="n">
        <x:v>3</x:v>
      </x:c>
      <x:c r="H10" s="9" t="n">
        <x:f>G10+1</x:f>
        <x:v>4</x:v>
      </x:c>
      <x:c r="I10" s="12" t="n">
        <x:v>25</x:v>
      </x:c>
      <x:c r="J10" s="24" t="n">
        <x:v>0.07</x:v>
      </x:c>
      <x:c r="K10" s="24" t="n">
        <x:v>0</x:v>
      </x:c>
      <x:c r="L10" s="24" t="n">
        <x:v>0</x:v>
      </x:c>
      <x:c r="M10" s="24" t="n">
        <x:v>0</x:v>
      </x:c>
      <x:c r="N10" s="24" t="n">
        <x:v>0</x:v>
      </x:c>
      <x:c r="O10" s="24" t="n">
        <x:v>0</x:v>
      </x:c>
      <x:c r="P10" s="19" t="str">
        <x:v>—</x:v>
      </x:c>
      <x:c r="Q10" s="19" t="n">
        <x:v>0</x:v>
      </x:c>
      <x:c r="R10" s="19" t="n">
        <x:v>1</x:v>
      </x:c>
      <x:c r="S10" s="19" t="str">
        <x:v>healing</x:v>
      </x:c>
      <x:c r="T10" s="9" t="str">
        <x:v>lesser-travel-healing-potion</x:v>
      </x:c>
    </x:row>
    <x:row r="11" ht="46" customHeight="1">
      <x:c r="A11" s="10" t="str">
        <x:v>行旅治疗药水</x:v>
      </x:c>
      <x:c r="B11" s="10" t="str">
        <x:v>普通</x:v>
      </x:c>
      <x:c r="C11" s="10" t="str">
        <x:v>治疗药水</x:v>
      </x:c>
      <x:c r="D11" s="10" t="str">
        <x:v>35 HP＋最大生命 10%</x:v>
      </x:c>
      <x:c r="E11" s="10" t="str">
        <x:v>不出售</x:v>
      </x:c>
      <x:c r="F11" s="10" t="n">
        <x:v>0</x:v>
      </x:c>
      <x:c r="G11" s="10" t="n">
        <x:v>3</x:v>
      </x:c>
      <x:c r="H11" s="10" t="n">
        <x:f>G11+1</x:f>
        <x:v>4</x:v>
      </x:c>
      <x:c r="I11" s="13" t="n">
        <x:v>35</x:v>
      </x:c>
      <x:c r="J11" s="25" t="n">
        <x:v>0.1</x:v>
      </x:c>
      <x:c r="K11" s="25" t="n">
        <x:v>0</x:v>
      </x:c>
      <x:c r="L11" s="25" t="n">
        <x:v>0</x:v>
      </x:c>
      <x:c r="M11" s="25" t="n">
        <x:v>0</x:v>
      </x:c>
      <x:c r="N11" s="25" t="n">
        <x:v>0</x:v>
      </x:c>
      <x:c r="O11" s="25" t="n">
        <x:v>0</x:v>
      </x:c>
      <x:c r="P11" s="22" t="str">
        <x:v>—</x:v>
      </x:c>
      <x:c r="Q11" s="22" t="n">
        <x:v>0</x:v>
      </x:c>
      <x:c r="R11" s="22" t="n">
        <x:v>1</x:v>
      </x:c>
      <x:c r="S11" s="22" t="str">
        <x:v>healing</x:v>
      </x:c>
      <x:c r="T11" s="10" t="str">
        <x:v>travel-healing-potion</x:v>
      </x:c>
    </x:row>
    <x:row r="12" ht="46" customHeight="1">
      <x:c r="A12" s="9" t="str">
        <x:v>磨刃药油</x:v>
      </x:c>
      <x:c r="B12" s="9" t="str">
        <x:v>次级</x:v>
      </x:c>
      <x:c r="C12" s="9" t="str">
        <x:v>战斗强化</x:v>
      </x:c>
      <x:c r="D12" s="9" t="str">
        <x:v>攻击中 Lv2</x:v>
      </x:c>
      <x:c r="E12" s="9" t="n">
        <x:v>10</x:v>
      </x:c>
      <x:c r="F12" s="9" t="n">
        <x:v>3</x:v>
      </x:c>
      <x:c r="G12" s="9" t="n">
        <x:v>5</x:v>
      </x:c>
      <x:c r="H12" s="9" t="n">
        <x:f>G12+1</x:f>
        <x:v>6</x:v>
      </x:c>
      <x:c r="I12" s="12" t="n">
        <x:v>0</x:v>
      </x:c>
      <x:c r="J12" s="24" t="n">
        <x:v>0</x:v>
      </x:c>
      <x:c r="K12" s="24" t="n">
        <x:v>0</x:v>
      </x:c>
      <x:c r="L12" s="24" t="n">
        <x:v>0</x:v>
      </x:c>
      <x:c r="M12" s="24" t="n">
        <x:v>0</x:v>
      </x:c>
      <x:c r="N12" s="24" t="n">
        <x:v>0</x:v>
      </x:c>
      <x:c r="O12" s="24" t="n">
        <x:v>0</x:v>
      </x:c>
      <x:c r="P12" s="19" t="str">
        <x:v>weapon-attack</x:v>
      </x:c>
      <x:c r="Q12" s="19" t="n">
        <x:v>2</x:v>
      </x:c>
      <x:c r="R12" s="19" t="n">
        <x:v>1</x:v>
      </x:c>
      <x:c r="S12" s="19" t="str">
        <x:v>buff-attack</x:v>
      </x:c>
      <x:c r="T12" s="9" t="str">
        <x:v>lesser-whetstone-oil</x:v>
      </x:c>
    </x:row>
    <x:row r="13" ht="46" customHeight="1">
      <x:c r="A13" s="10" t="str">
        <x:v>磨刃药油</x:v>
      </x:c>
      <x:c r="B13" s="10" t="str">
        <x:v>普通</x:v>
      </x:c>
      <x:c r="C13" s="10" t="str">
        <x:v>战斗强化</x:v>
      </x:c>
      <x:c r="D13" s="10" t="str">
        <x:v>攻击中 Lv3</x:v>
      </x:c>
      <x:c r="E13" s="10" t="str">
        <x:v>不出售</x:v>
      </x:c>
      <x:c r="F13" s="10" t="n">
        <x:v>3</x:v>
      </x:c>
      <x:c r="G13" s="10" t="n">
        <x:v>5</x:v>
      </x:c>
      <x:c r="H13" s="10" t="n">
        <x:f>G13+1</x:f>
        <x:v>6</x:v>
      </x:c>
      <x:c r="I13" s="13" t="n">
        <x:v>0</x:v>
      </x:c>
      <x:c r="J13" s="25" t="n">
        <x:v>0</x:v>
      </x:c>
      <x:c r="K13" s="25" t="n">
        <x:v>0</x:v>
      </x:c>
      <x:c r="L13" s="25" t="n">
        <x:v>0</x:v>
      </x:c>
      <x:c r="M13" s="25" t="n">
        <x:v>0</x:v>
      </x:c>
      <x:c r="N13" s="25" t="n">
        <x:v>0</x:v>
      </x:c>
      <x:c r="O13" s="25" t="n">
        <x:v>0</x:v>
      </x:c>
      <x:c r="P13" s="22" t="str">
        <x:v>weapon-attack</x:v>
      </x:c>
      <x:c r="Q13" s="22" t="n">
        <x:v>3</x:v>
      </x:c>
      <x:c r="R13" s="22" t="n">
        <x:v>1</x:v>
      </x:c>
      <x:c r="S13" s="22" t="str">
        <x:v>buff-attack</x:v>
      </x:c>
      <x:c r="T13" s="10" t="str">
        <x:v>whetstone-oil</x:v>
      </x:c>
    </x:row>
    <x:row r="14" ht="46" customHeight="1">
      <x:c r="A14" s="9" t="str">
        <x:v>强攻合剂</x:v>
      </x:c>
      <x:c r="B14" s="9" t="str">
        <x:v>次级</x:v>
      </x:c>
      <x:c r="C14" s="9" t="str">
        <x:v>整场合剂</x:v>
      </x:c>
      <x:c r="D14" s="9" t="str">
        <x:v>攻击＋12%</x:v>
      </x:c>
      <x:c r="E14" s="9" t="n">
        <x:v>12</x:v>
      </x:c>
      <x:c r="F14" s="9" t="str">
        <x:v>整场</x:v>
      </x:c>
      <x:c r="G14" s="9" t="n">
        <x:v>0</x:v>
      </x:c>
      <x:c r="H14" s="9" t="str">
        <x:v>每场1瓶</x:v>
      </x:c>
      <x:c r="I14" s="12" t="n">
        <x:v>0</x:v>
      </x:c>
      <x:c r="J14" s="24" t="n">
        <x:v>0</x:v>
      </x:c>
      <x:c r="K14" s="24" t="n">
        <x:v>0.12</x:v>
      </x:c>
      <x:c r="L14" s="24" t="n">
        <x:v>0</x:v>
      </x:c>
      <x:c r="M14" s="24" t="n">
        <x:v>0</x:v>
      </x:c>
      <x:c r="N14" s="24" t="n">
        <x:v>0</x:v>
      </x:c>
      <x:c r="O14" s="24" t="n">
        <x:v>0</x:v>
      </x:c>
      <x:c r="P14" s="19" t="str">
        <x:v>—</x:v>
      </x:c>
      <x:c r="Q14" s="19" t="n">
        <x:v>0</x:v>
      </x:c>
      <x:c r="R14" s="19" t="n">
        <x:v>1</x:v>
      </x:c>
      <x:c r="S14" s="19" t="str">
        <x:v>—</x:v>
      </x:c>
      <x:c r="T14" s="9" t="str">
        <x:v>lesser-elwynn-assault-draught</x:v>
      </x:c>
    </x:row>
    <x:row r="15" ht="46" customHeight="1">
      <x:c r="A15" s="10" t="str">
        <x:v>强攻合剂</x:v>
      </x:c>
      <x:c r="B15" s="10" t="str">
        <x:v>普通</x:v>
      </x:c>
      <x:c r="C15" s="10" t="str">
        <x:v>整场合剂</x:v>
      </x:c>
      <x:c r="D15" s="10" t="str">
        <x:v>攻击＋20%</x:v>
      </x:c>
      <x:c r="E15" s="10" t="str">
        <x:v>不出售</x:v>
      </x:c>
      <x:c r="F15" s="10" t="str">
        <x:v>整场</x:v>
      </x:c>
      <x:c r="G15" s="10" t="n">
        <x:v>0</x:v>
      </x:c>
      <x:c r="H15" s="10" t="str">
        <x:v>每场1瓶</x:v>
      </x:c>
      <x:c r="I15" s="13" t="n">
        <x:v>0</x:v>
      </x:c>
      <x:c r="J15" s="25" t="n">
        <x:v>0</x:v>
      </x:c>
      <x:c r="K15" s="25" t="n">
        <x:v>0.2</x:v>
      </x:c>
      <x:c r="L15" s="25" t="n">
        <x:v>0</x:v>
      </x:c>
      <x:c r="M15" s="25" t="n">
        <x:v>0</x:v>
      </x:c>
      <x:c r="N15" s="25" t="n">
        <x:v>0</x:v>
      </x:c>
      <x:c r="O15" s="25" t="n">
        <x:v>0</x:v>
      </x:c>
      <x:c r="P15" s="22" t="str">
        <x:v>—</x:v>
      </x:c>
      <x:c r="Q15" s="22" t="n">
        <x:v>0</x:v>
      </x:c>
      <x:c r="R15" s="22" t="n">
        <x:v>1</x:v>
      </x:c>
      <x:c r="S15" s="22" t="str">
        <x:v>—</x:v>
      </x:c>
      <x:c r="T15" s="10" t="str">
        <x:v>elwynn-assault-draught</x:v>
      </x:c>
    </x:row>
    <x:row r="16" ht="46" customHeight="1">
      <x:c r="A16" s="9" t="str">
        <x:v>强攻合剂</x:v>
      </x:c>
      <x:c r="B16" s="9" t="str">
        <x:v>强效</x:v>
      </x:c>
      <x:c r="C16" s="9" t="str">
        <x:v>整场合剂</x:v>
      </x:c>
      <x:c r="D16" s="9" t="str">
        <x:v>攻击＋30%</x:v>
      </x:c>
      <x:c r="E16" s="9" t="str">
        <x:v>不出售</x:v>
      </x:c>
      <x:c r="F16" s="9" t="str">
        <x:v>整场</x:v>
      </x:c>
      <x:c r="G16" s="9" t="n">
        <x:v>0</x:v>
      </x:c>
      <x:c r="H16" s="9" t="str">
        <x:v>每场1瓶</x:v>
      </x:c>
      <x:c r="I16" s="12" t="n">
        <x:v>0</x:v>
      </x:c>
      <x:c r="J16" s="24" t="n">
        <x:v>0</x:v>
      </x:c>
      <x:c r="K16" s="24" t="n">
        <x:v>0.3</x:v>
      </x:c>
      <x:c r="L16" s="24" t="n">
        <x:v>0</x:v>
      </x:c>
      <x:c r="M16" s="24" t="n">
        <x:v>0</x:v>
      </x:c>
      <x:c r="N16" s="24" t="n">
        <x:v>0</x:v>
      </x:c>
      <x:c r="O16" s="24" t="n">
        <x:v>0</x:v>
      </x:c>
      <x:c r="P16" s="19" t="str">
        <x:v>—</x:v>
      </x:c>
      <x:c r="Q16" s="19" t="n">
        <x:v>0</x:v>
      </x:c>
      <x:c r="R16" s="19" t="n">
        <x:v>1</x:v>
      </x:c>
      <x:c r="S16" s="19" t="str">
        <x:v>—</x:v>
      </x:c>
      <x:c r="T16" s="9" t="str">
        <x:v>greater-elwynn-assault-draught</x:v>
      </x:c>
    </x:row>
    <x:row r="17" ht="46" customHeight="1">
      <x:c r="A17" s="10" t="str">
        <x:v>暮影药剂</x:v>
      </x:c>
      <x:c r="B17" s="10" t="str">
        <x:v>次级</x:v>
      </x:c>
      <x:c r="C17" s="10" t="str">
        <x:v>战斗强化</x:v>
      </x:c>
      <x:c r="D17" s="10" t="str">
        <x:v>背水中 Lv2</x:v>
      </x:c>
      <x:c r="E17" s="10" t="n">
        <x:v>10</x:v>
      </x:c>
      <x:c r="F17" s="10" t="n">
        <x:v>3</x:v>
      </x:c>
      <x:c r="G17" s="10" t="n">
        <x:v>5</x:v>
      </x:c>
      <x:c r="H17" s="10" t="n">
        <x:f>G17+1</x:f>
        <x:v>6</x:v>
      </x:c>
      <x:c r="I17" s="13" t="n">
        <x:v>0</x:v>
      </x:c>
      <x:c r="J17" s="25" t="n">
        <x:v>0</x:v>
      </x:c>
      <x:c r="K17" s="25" t="n">
        <x:v>0</x:v>
      </x:c>
      <x:c r="L17" s="25" t="n">
        <x:v>0</x:v>
      </x:c>
      <x:c r="M17" s="25" t="n">
        <x:v>0</x:v>
      </x:c>
      <x:c r="N17" s="25" t="n">
        <x:v>0</x:v>
      </x:c>
      <x:c r="O17" s="25" t="n">
        <x:v>0</x:v>
      </x:c>
      <x:c r="P17" s="22" t="str">
        <x:v>weapon-enmity</x:v>
      </x:c>
      <x:c r="Q17" s="22" t="n">
        <x:v>2</x:v>
      </x:c>
      <x:c r="R17" s="22" t="n">
        <x:v>1</x:v>
      </x:c>
      <x:c r="S17" s="22" t="str">
        <x:v>buff-enmity</x:v>
      </x:c>
      <x:c r="T17" s="10" t="str">
        <x:v>lesser-tirisfal-dusk-draught</x:v>
      </x:c>
    </x:row>
    <x:row r="18" ht="46" customHeight="1">
      <x:c r="A18" s="9" t="str">
        <x:v>暮影药剂</x:v>
      </x:c>
      <x:c r="B18" s="9" t="str">
        <x:v>普通</x:v>
      </x:c>
      <x:c r="C18" s="9" t="str">
        <x:v>战斗强化</x:v>
      </x:c>
      <x:c r="D18" s="9" t="str">
        <x:v>背水中 Lv3</x:v>
      </x:c>
      <x:c r="E18" s="9" t="str">
        <x:v>不出售</x:v>
      </x:c>
      <x:c r="F18" s="9" t="n">
        <x:v>3</x:v>
      </x:c>
      <x:c r="G18" s="9" t="n">
        <x:v>5</x:v>
      </x:c>
      <x:c r="H18" s="9" t="n">
        <x:f>G18+1</x:f>
        <x:v>6</x:v>
      </x:c>
      <x:c r="I18" s="12" t="n">
        <x:v>0</x:v>
      </x:c>
      <x:c r="J18" s="24" t="n">
        <x:v>0</x:v>
      </x:c>
      <x:c r="K18" s="24" t="n">
        <x:v>0</x:v>
      </x:c>
      <x:c r="L18" s="24" t="n">
        <x:v>0</x:v>
      </x:c>
      <x:c r="M18" s="24" t="n">
        <x:v>0</x:v>
      </x:c>
      <x:c r="N18" s="24" t="n">
        <x:v>0</x:v>
      </x:c>
      <x:c r="O18" s="24" t="n">
        <x:v>0</x:v>
      </x:c>
      <x:c r="P18" s="19" t="str">
        <x:v>weapon-enmity</x:v>
      </x:c>
      <x:c r="Q18" s="19" t="n">
        <x:v>3</x:v>
      </x:c>
      <x:c r="R18" s="19" t="n">
        <x:v>1</x:v>
      </x:c>
      <x:c r="S18" s="19" t="str">
        <x:v>buff-enmity</x:v>
      </x:c>
      <x:c r="T18" s="9" t="str">
        <x:v>tirisfal-dusk-draught</x:v>
      </x:c>
    </x:row>
    <x:row r="19" ht="46" customHeight="1">
      <x:c r="A19" s="10" t="str">
        <x:v>暮影药剂</x:v>
      </x:c>
      <x:c r="B19" s="10" t="str">
        <x:v>强效</x:v>
      </x:c>
      <x:c r="C19" s="10" t="str">
        <x:v>战斗强化</x:v>
      </x:c>
      <x:c r="D19" s="10" t="str">
        <x:v>背水中 Lv5</x:v>
      </x:c>
      <x:c r="E19" s="10" t="str">
        <x:v>不出售</x:v>
      </x:c>
      <x:c r="F19" s="10" t="n">
        <x:v>3</x:v>
      </x:c>
      <x:c r="G19" s="10" t="n">
        <x:v>5</x:v>
      </x:c>
      <x:c r="H19" s="10" t="n">
        <x:f>G19+1</x:f>
        <x:v>6</x:v>
      </x:c>
      <x:c r="I19" s="13" t="n">
        <x:v>0</x:v>
      </x:c>
      <x:c r="J19" s="25" t="n">
        <x:v>0</x:v>
      </x:c>
      <x:c r="K19" s="25" t="n">
        <x:v>0</x:v>
      </x:c>
      <x:c r="L19" s="25" t="n">
        <x:v>0</x:v>
      </x:c>
      <x:c r="M19" s="25" t="n">
        <x:v>0</x:v>
      </x:c>
      <x:c r="N19" s="25" t="n">
        <x:v>0</x:v>
      </x:c>
      <x:c r="O19" s="25" t="n">
        <x:v>0</x:v>
      </x:c>
      <x:c r="P19" s="22" t="str">
        <x:v>weapon-enmity</x:v>
      </x:c>
      <x:c r="Q19" s="22" t="n">
        <x:v>5</x:v>
      </x:c>
      <x:c r="R19" s="22" t="n">
        <x:v>1</x:v>
      </x:c>
      <x:c r="S19" s="22" t="str">
        <x:v>buff-enmity</x:v>
      </x:c>
      <x:c r="T19" s="10" t="str">
        <x:v>greater-tirisfal-dusk-draught</x:v>
      </x:c>
    </x:row>
    <x:row r="20" ht="46" customHeight="1">
      <x:c r="A20" s="9" t="str">
        <x:v>燃血合剂</x:v>
      </x:c>
      <x:c r="B20" s="9" t="str">
        <x:v>次级</x:v>
      </x:c>
      <x:c r="C20" s="9" t="str">
        <x:v>整场合剂</x:v>
      </x:c>
      <x:c r="D20" s="9" t="str">
        <x:v>最终伤害＋10%；承伤参数＋5%</x:v>
      </x:c>
      <x:c r="E20" s="9" t="n">
        <x:v>12</x:v>
      </x:c>
      <x:c r="F20" s="9" t="str">
        <x:v>整场</x:v>
      </x:c>
      <x:c r="G20" s="9" t="n">
        <x:v>0</x:v>
      </x:c>
      <x:c r="H20" s="9" t="str">
        <x:v>每场1瓶</x:v>
      </x:c>
      <x:c r="I20" s="12" t="n">
        <x:v>0</x:v>
      </x:c>
      <x:c r="J20" s="24" t="n">
        <x:v>0</x:v>
      </x:c>
      <x:c r="K20" s="24" t="n">
        <x:v>0</x:v>
      </x:c>
      <x:c r="L20" s="24" t="n">
        <x:v>0.1</x:v>
      </x:c>
      <x:c r="M20" s="24" t="n">
        <x:v>0</x:v>
      </x:c>
      <x:c r="N20" s="24" t="n">
        <x:v>0</x:v>
      </x:c>
      <x:c r="O20" s="24" t="n">
        <x:v>0.05</x:v>
      </x:c>
      <x:c r="P20" s="19" t="str">
        <x:v>—</x:v>
      </x:c>
      <x:c r="Q20" s="19" t="n">
        <x:v>0</x:v>
      </x:c>
      <x:c r="R20" s="19" t="n">
        <x:v>1</x:v>
      </x:c>
      <x:c r="S20" s="19" t="str">
        <x:v>—</x:v>
      </x:c>
      <x:c r="T20" s="9" t="str">
        <x:v>lesser-durotar-bloodfire-draught</x:v>
      </x:c>
    </x:row>
    <x:row r="21" ht="46" customHeight="1">
      <x:c r="A21" s="10" t="str">
        <x:v>燃血合剂</x:v>
      </x:c>
      <x:c r="B21" s="10" t="str">
        <x:v>普通</x:v>
      </x:c>
      <x:c r="C21" s="10" t="str">
        <x:v>整场合剂</x:v>
      </x:c>
      <x:c r="D21" s="10" t="str">
        <x:v>最终伤害＋15%；承伤参数＋5%</x:v>
      </x:c>
      <x:c r="E21" s="10" t="str">
        <x:v>不出售</x:v>
      </x:c>
      <x:c r="F21" s="10" t="str">
        <x:v>整场</x:v>
      </x:c>
      <x:c r="G21" s="10" t="n">
        <x:v>0</x:v>
      </x:c>
      <x:c r="H21" s="10" t="str">
        <x:v>每场1瓶</x:v>
      </x:c>
      <x:c r="I21" s="13" t="n">
        <x:v>0</x:v>
      </x:c>
      <x:c r="J21" s="25" t="n">
        <x:v>0</x:v>
      </x:c>
      <x:c r="K21" s="25" t="n">
        <x:v>0</x:v>
      </x:c>
      <x:c r="L21" s="25" t="n">
        <x:v>0.15</x:v>
      </x:c>
      <x:c r="M21" s="25" t="n">
        <x:v>0</x:v>
      </x:c>
      <x:c r="N21" s="25" t="n">
        <x:v>0</x:v>
      </x:c>
      <x:c r="O21" s="25" t="n">
        <x:v>0.05</x:v>
      </x:c>
      <x:c r="P21" s="22" t="str">
        <x:v>—</x:v>
      </x:c>
      <x:c r="Q21" s="22" t="n">
        <x:v>0</x:v>
      </x:c>
      <x:c r="R21" s="22" t="n">
        <x:v>1</x:v>
      </x:c>
      <x:c r="S21" s="22" t="str">
        <x:v>—</x:v>
      </x:c>
      <x:c r="T21" s="10" t="str">
        <x:v>durotar-bloodfire-draught</x:v>
      </x:c>
    </x:row>
    <x:row r="22" ht="46" customHeight="1">
      <x:c r="A22" s="9" t="str">
        <x:v>燃血合剂</x:v>
      </x:c>
      <x:c r="B22" s="9" t="str">
        <x:v>强效</x:v>
      </x:c>
      <x:c r="C22" s="9" t="str">
        <x:v>整场合剂</x:v>
      </x:c>
      <x:c r="D22" s="9" t="str">
        <x:v>最终伤害＋23%；承伤参数＋5%</x:v>
      </x:c>
      <x:c r="E22" s="9" t="str">
        <x:v>不出售</x:v>
      </x:c>
      <x:c r="F22" s="9" t="str">
        <x:v>整场</x:v>
      </x:c>
      <x:c r="G22" s="9" t="n">
        <x:v>0</x:v>
      </x:c>
      <x:c r="H22" s="9" t="str">
        <x:v>每场1瓶</x:v>
      </x:c>
      <x:c r="I22" s="12" t="n">
        <x:v>0</x:v>
      </x:c>
      <x:c r="J22" s="24" t="n">
        <x:v>0</x:v>
      </x:c>
      <x:c r="K22" s="24" t="n">
        <x:v>0</x:v>
      </x:c>
      <x:c r="L22" s="24" t="n">
        <x:v>0.23</x:v>
      </x:c>
      <x:c r="M22" s="24" t="n">
        <x:v>0</x:v>
      </x:c>
      <x:c r="N22" s="24" t="n">
        <x:v>0</x:v>
      </x:c>
      <x:c r="O22" s="24" t="n">
        <x:v>0.05</x:v>
      </x:c>
      <x:c r="P22" s="19" t="str">
        <x:v>—</x:v>
      </x:c>
      <x:c r="Q22" s="19" t="n">
        <x:v>0</x:v>
      </x:c>
      <x:c r="R22" s="19" t="n">
        <x:v>1</x:v>
      </x:c>
      <x:c r="S22" s="19" t="str">
        <x:v>—</x:v>
      </x:c>
      <x:c r="T22" s="9" t="str">
        <x:v>greater-durotar-bloodfire-draught</x:v>
      </x:c>
    </x:row>
    <x:row r="23" ht="46" customHeight="1">
      <x:c r="A23" s="10" t="str">
        <x:v>坚韧药剂</x:v>
      </x:c>
      <x:c r="B23" s="10" t="str">
        <x:v>次级</x:v>
      </x:c>
      <x:c r="C23" s="10" t="str">
        <x:v>战斗强化</x:v>
      </x:c>
      <x:c r="D23" s="10" t="str">
        <x:v>神威 Lv2</x:v>
      </x:c>
      <x:c r="E23" s="10" t="n">
        <x:v>10</x:v>
      </x:c>
      <x:c r="F23" s="10" t="n">
        <x:v>3</x:v>
      </x:c>
      <x:c r="G23" s="10" t="n">
        <x:v>5</x:v>
      </x:c>
      <x:c r="H23" s="10" t="n">
        <x:f>G23+1</x:f>
        <x:v>6</x:v>
      </x:c>
      <x:c r="I23" s="13" t="n">
        <x:v>0</x:v>
      </x:c>
      <x:c r="J23" s="25" t="n">
        <x:v>0</x:v>
      </x:c>
      <x:c r="K23" s="25" t="n">
        <x:v>0</x:v>
      </x:c>
      <x:c r="L23" s="25" t="n">
        <x:v>0</x:v>
      </x:c>
      <x:c r="M23" s="25" t="n">
        <x:v>0</x:v>
      </x:c>
      <x:c r="N23" s="25" t="n">
        <x:v>0</x:v>
      </x:c>
      <x:c r="O23" s="25" t="n">
        <x:v>0</x:v>
      </x:c>
      <x:c r="P23" s="22" t="str">
        <x:v>weapon-might</x:v>
      </x:c>
      <x:c r="Q23" s="22" t="n">
        <x:v>2</x:v>
      </x:c>
      <x:c r="R23" s="22" t="n">
        <x:v>1</x:v>
      </x:c>
      <x:c r="S23" s="22" t="str">
        <x:v>buff-might</x:v>
      </x:c>
      <x:c r="T23" s="10" t="str">
        <x:v>lesser-dun-morogh-fortitude-draught</x:v>
      </x:c>
    </x:row>
    <x:row r="24" ht="46" customHeight="1">
      <x:c r="A24" s="9" t="str">
        <x:v>坚韧药剂</x:v>
      </x:c>
      <x:c r="B24" s="9" t="str">
        <x:v>普通</x:v>
      </x:c>
      <x:c r="C24" s="9" t="str">
        <x:v>战斗强化</x:v>
      </x:c>
      <x:c r="D24" s="9" t="str">
        <x:v>神威 Lv3</x:v>
      </x:c>
      <x:c r="E24" s="9" t="str">
        <x:v>不出售</x:v>
      </x:c>
      <x:c r="F24" s="9" t="n">
        <x:v>3</x:v>
      </x:c>
      <x:c r="G24" s="9" t="n">
        <x:v>5</x:v>
      </x:c>
      <x:c r="H24" s="9" t="n">
        <x:f>G24+1</x:f>
        <x:v>6</x:v>
      </x:c>
      <x:c r="I24" s="12" t="n">
        <x:v>0</x:v>
      </x:c>
      <x:c r="J24" s="24" t="n">
        <x:v>0</x:v>
      </x:c>
      <x:c r="K24" s="24" t="n">
        <x:v>0</x:v>
      </x:c>
      <x:c r="L24" s="24" t="n">
        <x:v>0</x:v>
      </x:c>
      <x:c r="M24" s="24" t="n">
        <x:v>0</x:v>
      </x:c>
      <x:c r="N24" s="24" t="n">
        <x:v>0</x:v>
      </x:c>
      <x:c r="O24" s="24" t="n">
        <x:v>0</x:v>
      </x:c>
      <x:c r="P24" s="19" t="str">
        <x:v>weapon-might</x:v>
      </x:c>
      <x:c r="Q24" s="19" t="n">
        <x:v>3</x:v>
      </x:c>
      <x:c r="R24" s="19" t="n">
        <x:v>1</x:v>
      </x:c>
      <x:c r="S24" s="19" t="str">
        <x:v>buff-might</x:v>
      </x:c>
      <x:c r="T24" s="9" t="str">
        <x:v>dun-morogh-fortitude-draught</x:v>
      </x:c>
    </x:row>
    <x:row r="25" ht="46" customHeight="1">
      <x:c r="A25" s="10" t="str">
        <x:v>坚韧药剂</x:v>
      </x:c>
      <x:c r="B25" s="10" t="str">
        <x:v>强效</x:v>
      </x:c>
      <x:c r="C25" s="10" t="str">
        <x:v>战斗强化</x:v>
      </x:c>
      <x:c r="D25" s="10" t="str">
        <x:v>神威 Lv5</x:v>
      </x:c>
      <x:c r="E25" s="10" t="str">
        <x:v>不出售</x:v>
      </x:c>
      <x:c r="F25" s="10" t="n">
        <x:v>3</x:v>
      </x:c>
      <x:c r="G25" s="10" t="n">
        <x:v>5</x:v>
      </x:c>
      <x:c r="H25" s="10" t="n">
        <x:f>G25+1</x:f>
        <x:v>6</x:v>
      </x:c>
      <x:c r="I25" s="13" t="n">
        <x:v>0</x:v>
      </x:c>
      <x:c r="J25" s="25" t="n">
        <x:v>0</x:v>
      </x:c>
      <x:c r="K25" s="25" t="n">
        <x:v>0</x:v>
      </x:c>
      <x:c r="L25" s="25" t="n">
        <x:v>0</x:v>
      </x:c>
      <x:c r="M25" s="25" t="n">
        <x:v>0</x:v>
      </x:c>
      <x:c r="N25" s="25" t="n">
        <x:v>0</x:v>
      </x:c>
      <x:c r="O25" s="25" t="n">
        <x:v>0</x:v>
      </x:c>
      <x:c r="P25" s="22" t="str">
        <x:v>weapon-might</x:v>
      </x:c>
      <x:c r="Q25" s="22" t="n">
        <x:v>5</x:v>
      </x:c>
      <x:c r="R25" s="22" t="n">
        <x:v>1</x:v>
      </x:c>
      <x:c r="S25" s="22" t="str">
        <x:v>buff-might</x:v>
      </x:c>
      <x:c r="T25" s="10" t="str">
        <x:v>greater-dun-morogh-fortitude-draught</x:v>
      </x:c>
    </x:row>
    <x:row r="26" ht="46" customHeight="1">
      <x:c r="A26" s="9" t="str">
        <x:v>猎风合剂</x:v>
      </x:c>
      <x:c r="B26" s="9" t="str">
        <x:v>次级</x:v>
      </x:c>
      <x:c r="C26" s="9" t="str">
        <x:v>整场合剂</x:v>
      </x:c>
      <x:c r="D26" s="9" t="str">
        <x:v>普攻＋8%；群攻减伤＋6%</x:v>
      </x:c>
      <x:c r="E26" s="9" t="n">
        <x:v>12</x:v>
      </x:c>
      <x:c r="F26" s="9" t="str">
        <x:v>整场</x:v>
      </x:c>
      <x:c r="G26" s="9" t="n">
        <x:v>0</x:v>
      </x:c>
      <x:c r="H26" s="9" t="str">
        <x:v>每场1瓶</x:v>
      </x:c>
      <x:c r="I26" s="12" t="n">
        <x:v>0</x:v>
      </x:c>
      <x:c r="J26" s="24" t="n">
        <x:v>0</x:v>
      </x:c>
      <x:c r="K26" s="24" t="n">
        <x:v>0</x:v>
      </x:c>
      <x:c r="L26" s="24" t="n">
        <x:v>0</x:v>
      </x:c>
      <x:c r="M26" s="24" t="n">
        <x:v>0.08</x:v>
      </x:c>
      <x:c r="N26" s="24" t="n">
        <x:v>0.06</x:v>
      </x:c>
      <x:c r="O26" s="24" t="n">
        <x:v>0</x:v>
      </x:c>
      <x:c r="P26" s="19" t="str">
        <x:v>—</x:v>
      </x:c>
      <x:c r="Q26" s="19" t="n">
        <x:v>0</x:v>
      </x:c>
      <x:c r="R26" s="19" t="n">
        <x:v>1</x:v>
      </x:c>
      <x:c r="S26" s="19" t="str">
        <x:v>—</x:v>
      </x:c>
      <x:c r="T26" s="9" t="str">
        <x:v>lesser-mulgore-hunter-draught</x:v>
      </x:c>
    </x:row>
    <x:row r="27" ht="46" customHeight="1">
      <x:c r="A27" s="10" t="str">
        <x:v>猎风合剂</x:v>
      </x:c>
      <x:c r="B27" s="10" t="str">
        <x:v>普通</x:v>
      </x:c>
      <x:c r="C27" s="10" t="str">
        <x:v>整场合剂</x:v>
      </x:c>
      <x:c r="D27" s="10" t="str">
        <x:v>普攻＋12%；群攻减伤＋10%</x:v>
      </x:c>
      <x:c r="E27" s="10" t="str">
        <x:v>不出售</x:v>
      </x:c>
      <x:c r="F27" s="10" t="str">
        <x:v>整场</x:v>
      </x:c>
      <x:c r="G27" s="10" t="n">
        <x:v>0</x:v>
      </x:c>
      <x:c r="H27" s="10" t="str">
        <x:v>每场1瓶</x:v>
      </x:c>
      <x:c r="I27" s="13" t="n">
        <x:v>0</x:v>
      </x:c>
      <x:c r="J27" s="25" t="n">
        <x:v>0</x:v>
      </x:c>
      <x:c r="K27" s="25" t="n">
        <x:v>0</x:v>
      </x:c>
      <x:c r="L27" s="25" t="n">
        <x:v>0</x:v>
      </x:c>
      <x:c r="M27" s="25" t="n">
        <x:v>0.12</x:v>
      </x:c>
      <x:c r="N27" s="25" t="n">
        <x:v>0.1</x:v>
      </x:c>
      <x:c r="O27" s="25" t="n">
        <x:v>0</x:v>
      </x:c>
      <x:c r="P27" s="22" t="str">
        <x:v>—</x:v>
      </x:c>
      <x:c r="Q27" s="22" t="n">
        <x:v>0</x:v>
      </x:c>
      <x:c r="R27" s="22" t="n">
        <x:v>1</x:v>
      </x:c>
      <x:c r="S27" s="22" t="str">
        <x:v>—</x:v>
      </x:c>
      <x:c r="T27" s="10" t="str">
        <x:v>mulgore-hunter-draught</x:v>
      </x:c>
    </x:row>
    <x:row r="28" ht="46" customHeight="1">
      <x:c r="A28" s="9" t="str">
        <x:v>猎风合剂</x:v>
      </x:c>
      <x:c r="B28" s="9" t="str">
        <x:v>强效</x:v>
      </x:c>
      <x:c r="C28" s="9" t="str">
        <x:v>整场合剂</x:v>
      </x:c>
      <x:c r="D28" s="9" t="str">
        <x:v>普攻＋18%；群攻减伤＋15%</x:v>
      </x:c>
      <x:c r="E28" s="9" t="str">
        <x:v>不出售</x:v>
      </x:c>
      <x:c r="F28" s="9" t="str">
        <x:v>整场</x:v>
      </x:c>
      <x:c r="G28" s="9" t="n">
        <x:v>0</x:v>
      </x:c>
      <x:c r="H28" s="9" t="str">
        <x:v>每场1瓶</x:v>
      </x:c>
      <x:c r="I28" s="12" t="n">
        <x:v>0</x:v>
      </x:c>
      <x:c r="J28" s="24" t="n">
        <x:v>0</x:v>
      </x:c>
      <x:c r="K28" s="24" t="n">
        <x:v>0</x:v>
      </x:c>
      <x:c r="L28" s="24" t="n">
        <x:v>0</x:v>
      </x:c>
      <x:c r="M28" s="24" t="n">
        <x:v>0.18</x:v>
      </x:c>
      <x:c r="N28" s="24" t="n">
        <x:v>0.15</x:v>
      </x:c>
      <x:c r="O28" s="24" t="n">
        <x:v>0</x:v>
      </x:c>
      <x:c r="P28" s="19" t="str">
        <x:v>—</x:v>
      </x:c>
      <x:c r="Q28" s="19" t="n">
        <x:v>0</x:v>
      </x:c>
      <x:c r="R28" s="19" t="n">
        <x:v>1</x:v>
      </x:c>
      <x:c r="S28" s="19" t="str">
        <x:v>—</x:v>
      </x:c>
      <x:c r="T28" s="9" t="str">
        <x:v>greater-mulgore-hunter-draught</x:v>
      </x:c>
    </x:row>
    <x:row r="29" ht="46" customHeight="1">
      <x:c r="A29" s="10" t="str">
        <x:v>晨光灵感药剂</x:v>
      </x:c>
      <x:c r="B29" s="10" t="str">
        <x:v>次级</x:v>
      </x:c>
      <x:c r="C29" s="10" t="str">
        <x:v>战斗强化</x:v>
      </x:c>
      <x:c r="D29" s="10" t="str">
        <x:v>战技 Lv2</x:v>
      </x:c>
      <x:c r="E29" s="10" t="n">
        <x:v>10</x:v>
      </x:c>
      <x:c r="F29" s="10" t="n">
        <x:v>3</x:v>
      </x:c>
      <x:c r="G29" s="10" t="n">
        <x:v>5</x:v>
      </x:c>
      <x:c r="H29" s="10" t="n">
        <x:f>G29+1</x:f>
        <x:v>6</x:v>
      </x:c>
      <x:c r="I29" s="13" t="n">
        <x:v>0</x:v>
      </x:c>
      <x:c r="J29" s="25" t="n">
        <x:v>0</x:v>
      </x:c>
      <x:c r="K29" s="25" t="n">
        <x:v>0</x:v>
      </x:c>
      <x:c r="L29" s="25" t="n">
        <x:v>0</x:v>
      </x:c>
      <x:c r="M29" s="25" t="n">
        <x:v>0</x:v>
      </x:c>
      <x:c r="N29" s="25" t="n">
        <x:v>0</x:v>
      </x:c>
      <x:c r="O29" s="25" t="n">
        <x:v>0</x:v>
      </x:c>
      <x:c r="P29" s="22" t="str">
        <x:v>weapon-tactics</x:v>
      </x:c>
      <x:c r="Q29" s="22" t="n">
        <x:v>2</x:v>
      </x:c>
      <x:c r="R29" s="22" t="n">
        <x:v>1</x:v>
      </x:c>
      <x:c r="S29" s="22" t="str">
        <x:v>buff-tactics</x:v>
      </x:c>
      <x:c r="T29" s="10" t="str">
        <x:v>lesser-eversong-inspiration-draught</x:v>
      </x:c>
    </x:row>
    <x:row r="30" ht="46" customHeight="1">
      <x:c r="A30" s="9" t="str">
        <x:v>晨光灵感药剂</x:v>
      </x:c>
      <x:c r="B30" s="9" t="str">
        <x:v>普通</x:v>
      </x:c>
      <x:c r="C30" s="9" t="str">
        <x:v>战斗强化</x:v>
      </x:c>
      <x:c r="D30" s="9" t="str">
        <x:v>战技 Lv3</x:v>
      </x:c>
      <x:c r="E30" s="9" t="str">
        <x:v>不出售</x:v>
      </x:c>
      <x:c r="F30" s="9" t="n">
        <x:v>3</x:v>
      </x:c>
      <x:c r="G30" s="9" t="n">
        <x:v>5</x:v>
      </x:c>
      <x:c r="H30" s="9" t="n">
        <x:f>G30+1</x:f>
        <x:v>6</x:v>
      </x:c>
      <x:c r="I30" s="12" t="n">
        <x:v>0</x:v>
      </x:c>
      <x:c r="J30" s="24" t="n">
        <x:v>0</x:v>
      </x:c>
      <x:c r="K30" s="24" t="n">
        <x:v>0</x:v>
      </x:c>
      <x:c r="L30" s="24" t="n">
        <x:v>0</x:v>
      </x:c>
      <x:c r="M30" s="24" t="n">
        <x:v>0</x:v>
      </x:c>
      <x:c r="N30" s="24" t="n">
        <x:v>0</x:v>
      </x:c>
      <x:c r="O30" s="24" t="n">
        <x:v>0</x:v>
      </x:c>
      <x:c r="P30" s="19" t="str">
        <x:v>weapon-tactics</x:v>
      </x:c>
      <x:c r="Q30" s="19" t="n">
        <x:v>3</x:v>
      </x:c>
      <x:c r="R30" s="19" t="n">
        <x:v>1</x:v>
      </x:c>
      <x:c r="S30" s="19" t="str">
        <x:v>buff-tactics</x:v>
      </x:c>
      <x:c r="T30" s="9" t="str">
        <x:v>eversong-inspiration-draught</x:v>
      </x:c>
    </x:row>
    <x:row r="31" ht="46" customHeight="1">
      <x:c r="A31" s="10" t="str">
        <x:v>晨光灵感药剂</x:v>
      </x:c>
      <x:c r="B31" s="10" t="str">
        <x:v>强效</x:v>
      </x:c>
      <x:c r="C31" s="10" t="str">
        <x:v>战斗强化</x:v>
      </x:c>
      <x:c r="D31" s="10" t="str">
        <x:v>战技 Lv5</x:v>
      </x:c>
      <x:c r="E31" s="10" t="str">
        <x:v>不出售</x:v>
      </x:c>
      <x:c r="F31" s="10" t="n">
        <x:v>3</x:v>
      </x:c>
      <x:c r="G31" s="10" t="n">
        <x:v>5</x:v>
      </x:c>
      <x:c r="H31" s="10" t="n">
        <x:f>G31+1</x:f>
        <x:v>6</x:v>
      </x:c>
      <x:c r="I31" s="13" t="n">
        <x:v>0</x:v>
      </x:c>
      <x:c r="J31" s="25" t="n">
        <x:v>0</x:v>
      </x:c>
      <x:c r="K31" s="25" t="n">
        <x:v>0</x:v>
      </x:c>
      <x:c r="L31" s="25" t="n">
        <x:v>0</x:v>
      </x:c>
      <x:c r="M31" s="25" t="n">
        <x:v>0</x:v>
      </x:c>
      <x:c r="N31" s="25" t="n">
        <x:v>0</x:v>
      </x:c>
      <x:c r="O31" s="25" t="n">
        <x:v>0</x:v>
      </x:c>
      <x:c r="P31" s="22" t="str">
        <x:v>weapon-tactics</x:v>
      </x:c>
      <x:c r="Q31" s="22" t="n">
        <x:v>5</x:v>
      </x:c>
      <x:c r="R31" s="22" t="n">
        <x:v>1</x:v>
      </x:c>
      <x:c r="S31" s="22" t="str">
        <x:v>buff-tactics</x:v>
      </x:c>
      <x:c r="T31" s="10" t="str">
        <x:v>greater-eversong-inspiration-draught</x:v>
      </x:c>
    </x:row>
    <x:row r="32" ht="3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3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>
      <x:c r="A34" s="26" t="str">
        <x:v>武器技能折算（未触及共用上限时）</x:v>
      </x:c>
    </x:row>
    <x:row r="35" ht="34" customHeight="1">
      <x:c r="A35" s="28" t="str">
        <x:v>技能</x:v>
      </x:c>
      <x:c r="B35" s="28" t="str">
        <x:v>效果</x:v>
      </x:c>
      <x:c r="C35" s="28" t="str">
        <x:v>每级加成</x:v>
      </x:c>
      <x:c r="D35" s="28" t="str">
        <x:v>Lv2</x:v>
      </x:c>
      <x:c r="E35" s="28" t="str">
        <x:v>Lv3</x:v>
      </x:c>
      <x:c r="F35" s="28" t="str">
        <x:v>Lv5</x:v>
      </x:c>
    </x:row>
    <x:row r="36">
      <x:c r="A36" t="str">
        <x:v>攻击中</x:v>
      </x:c>
      <x:c r="B36" t="str">
        <x:v>攻击</x:v>
      </x:c>
      <x:c r="C36" s="29" t="n">
        <x:v>0.025</x:v>
      </x:c>
      <x:c r="D36" s="29" t="n">
        <x:f>C36*2</x:f>
        <x:v>0.05</x:v>
      </x:c>
      <x:c r="E36" s="29" t="n">
        <x:f>C36*3</x:f>
        <x:v>0.07500000000000001</x:v>
      </x:c>
      <x:c r="F36" s="29" t="n">
        <x:f>C36*5</x:f>
        <x:v>0.125</x:v>
      </x:c>
    </x:row>
    <x:row r="37">
      <x:c r="A37" t="str">
        <x:v>背水中</x:v>
      </x:c>
      <x:c r="B37" t="str">
        <x:v>背水系数</x:v>
      </x:c>
      <x:c r="C37" s="29" t="n">
        <x:v>0.05</x:v>
      </x:c>
      <x:c r="D37" s="29" t="n">
        <x:f>C37*2</x:f>
        <x:v>0.1</x:v>
      </x:c>
      <x:c r="E37" s="29" t="n">
        <x:f>C37*3</x:f>
        <x:v>0.15000000000000002</x:v>
      </x:c>
      <x:c r="F37" s="29" t="n">
        <x:f>C37*5</x:f>
        <x:v>0.25</x:v>
      </x:c>
    </x:row>
    <x:row r="38">
      <x:c r="A38" t="str">
        <x:v>神威</x:v>
      </x:c>
      <x:c r="B38" t="str">
        <x:v>攻击</x:v>
      </x:c>
      <x:c r="C38" s="29" t="n">
        <x:v>0.015</x:v>
      </x:c>
      <x:c r="D38" s="29" t="n">
        <x:f>C38*2</x:f>
        <x:v>0.03</x:v>
      </x:c>
      <x:c r="E38" s="29" t="n">
        <x:f>C38*3</x:f>
        <x:v>0.045</x:v>
      </x:c>
      <x:c r="F38" s="29" t="n">
        <x:f>C38*5</x:f>
        <x:v>0.075</x:v>
      </x:c>
    </x:row>
    <x:row r="39">
      <x:c r="A39" t="str">
        <x:v>神威</x:v>
      </x:c>
      <x:c r="B39" t="str">
        <x:v>最大生命</x:v>
      </x:c>
      <x:c r="C39" s="29" t="n">
        <x:v>0.02</x:v>
      </x:c>
      <x:c r="D39" s="29" t="n">
        <x:f>C39*2</x:f>
        <x:v>0.04</x:v>
      </x:c>
      <x:c r="E39" s="29" t="n">
        <x:f>C39*3</x:f>
        <x:v>0.06</x:v>
      </x:c>
      <x:c r="F39" s="29" t="n">
        <x:f>C39*5</x:f>
        <x:v>0.1</x:v>
      </x:c>
    </x:row>
    <x:row r="40">
      <x:c r="A40" t="str">
        <x:v>战技</x:v>
      </x:c>
      <x:c r="B40" t="str">
        <x:v>攻击</x:v>
      </x:c>
      <x:c r="C40" s="29" t="n">
        <x:v>0.015</x:v>
      </x:c>
      <x:c r="D40" s="29" t="n">
        <x:f>C40*2</x:f>
        <x:v>0.03</x:v>
      </x:c>
      <x:c r="E40" s="29" t="n">
        <x:f>C40*3</x:f>
        <x:v>0.045</x:v>
      </x:c>
      <x:c r="F40" s="29" t="n">
        <x:f>C40*5</x:f>
        <x:v>0.075</x:v>
      </x:c>
    </x:row>
    <x:row r="41">
      <x:c r="A41" t="str">
        <x:v>战技</x:v>
      </x:c>
      <x:c r="B41" t="str">
        <x:v>技能伤害</x:v>
      </x:c>
      <x:c r="C41" s="29" t="n">
        <x:v>0.01</x:v>
      </x:c>
      <x:c r="D41" s="29" t="n">
        <x:f>C41*2</x:f>
        <x:v>0.02</x:v>
      </x:c>
      <x:c r="E41" s="29" t="n">
        <x:f>C41*3</x:f>
        <x:v>0.03</x:v>
      </x:c>
      <x:c r="F41" s="29" t="n">
        <x:f>C41*5</x:f>
        <x:v>0.05</x:v>
      </x:c>
    </x:row>
    <x:row r="43" ht="46" customHeight="1">
      <x:c r="A43" t="str">
        <x:v>解释</x:v>
      </x:c>
      <x:c r="B43" s="30" t="str">
        <x:v>背水在 HP＜50% 时渐增，25% HP 时只取得背水系数的一半；神威提高最大生命但不会直接治疗。</x:v>
      </x:c>
      <x:c r="C43" s="30"/>
      <x:c r="D43" s="30"/>
      <x:c r="E43" s="30"/>
      <x:c r="F43" s="30"/>
      <x:c r="G43" s="30"/>
      <x:c r="H43" s="30"/>
    </x:row>
  </x:sheetData>
  <x:mergeCells>
    <x:mergeCell ref="B43:H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46" hidden="0" customWidth="1"/>
    <x:col min="10" max="10" width="12" hidden="0" customWidth="1"/>
    <x:col min="11" max="11" width="12" hidden="0" customWidth="1"/>
    <x:col min="12" max="12" width="16" hidden="0" customWidth="1"/>
    <x:col min="13" max="13" width="15" hidden="0" customWidth="1"/>
    <x:col min="14" max="14" width="50" hidden="0" customWidth="1"/>
    <x:col min="15" max="15" width="3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6" customHeight="1">
      <x:c r="A2" s="3" t="str">
        <x:v>草药种植与供给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0" customHeight="1">
      <x:c r="A3" s="2" t="str">
        <x:v>药田数</x:v>
      </x:c>
      <x:c r="B3" s="11" t="n">
        <x:v>4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0" customHeight="1">
      <x:c r="A4" s="4" t="str">
        <x:v>来源：当前 Planting / Shop 配置，2026-10-02；每株指一次收获中的一份草药。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7" t="str">
        <x:v>草药</x:v>
      </x:c>
      <x:c r="B5" s="7" t="str">
        <x:v>定位</x:v>
      </x:c>
      <x:c r="C5" s="7" t="str">
        <x:v>地区</x:v>
      </x:c>
      <x:c r="D5" s="7" t="str">
        <x:v>成熟秒</x:v>
      </x:c>
      <x:c r="E5" s="7" t="str">
        <x:v>每次产量</x:v>
      </x:c>
      <x:c r="F5" s="7" t="str">
        <x:v>配置种价/金</x:v>
      </x:c>
      <x:c r="G5" s="7" t="str">
        <x:v>商店种价/金</x:v>
      </x:c>
      <x:c r="H5" s="7" t="str">
        <x:v>等级字段</x:v>
      </x:c>
      <x:c r="I5" s="7" t="str">
        <x:v>种子/解锁来源</x:v>
      </x:c>
      <x:c r="J5" s="7" t="str">
        <x:v>掉落概率</x:v>
      </x:c>
      <x:c r="K5" s="7" t="str">
        <x:v>成熟小时</x:v>
      </x:c>
      <x:c r="L5" s="7" t="str">
        <x:v>单田株/小时</x:v>
      </x:c>
      <x:c r="M5" s="7" t="str">
        <x:v>种子金耗/株</x:v>
      </x:c>
      <x:c r="N5" s="7" t="str">
        <x:v>执行说明</x:v>
      </x:c>
      <x:c r="O5" s="7" t="str">
        <x:v>材料代码</x:v>
      </x:c>
    </x:row>
    <x:row r="6" ht="58" customHeight="1">
      <x:c r="A6" s="9" t="str">
        <x:v>宁神花</x:v>
      </x:c>
      <x:c r="B6" s="9" t="str">
        <x:v>通用</x:v>
      </x:c>
      <x:c r="C6" s="9" t="str">
        <x:v>通用</x:v>
      </x:c>
      <x:c r="D6" s="18" t="n">
        <x:v>14400</x:v>
      </x:c>
      <x:c r="E6" s="18" t="n">
        <x:v>40</x:v>
      </x:c>
      <x:c r="F6" s="18" t="n">
        <x:v>120</x:v>
      </x:c>
      <x:c r="G6" s="18" t="n">
        <x:v>120</x:v>
      </x:c>
      <x:c r="H6" s="18" t="n">
        <x:v>1</x:v>
      </x:c>
      <x:c r="I6" s="19" t="str">
        <x:v>击败 岩芽幼狼讨伐 / 墨翼蝠讨伐 / 燧谷野猪讨伐 / 雪绒躁兔讨伐 / 长足原鸟讨伐 / 琉叶幼豹讨伐 ×1</x:v>
      </x:c>
      <x:c r="J6" s="20" t="n">
        <x:v>0</x:v>
      </x:c>
      <x:c r="K6" s="16" t="n">
        <x:f>D6/3600</x:f>
        <x:v>4</x:v>
      </x:c>
      <x:c r="L6" s="16" t="n">
        <x:f>E6/K6</x:f>
        <x:v>10</x:v>
      </x:c>
      <x:c r="M6" s="16" t="n">
        <x:f>G6/E6</x:f>
        <x:v>3</x:v>
      </x:c>
      <x:c r="N6" s="9" t="str">
        <x:v>需要等级及战斗里程碑；种下后不自动收获或续种。</x:v>
      </x:c>
      <x:c r="O6" s="9" t="str">
        <x:v>peacebloom</x:v>
      </x:c>
    </x:row>
    <x:row r="7" ht="58" customHeight="1">
      <x:c r="A7" s="10" t="str">
        <x:v>银叶草</x:v>
      </x:c>
      <x:c r="B7" s="10" t="str">
        <x:v>区域特色</x:v>
      </x:c>
      <x:c r="C7" s="10" t="str">
        <x:v>岩芽林地</x:v>
      </x:c>
      <x:c r="D7" s="21" t="n">
        <x:v>18000</x:v>
      </x:c>
      <x:c r="E7" s="21" t="n">
        <x:v>20</x:v>
      </x:c>
      <x:c r="F7" s="21" t="n">
        <x:v>240</x:v>
      </x:c>
      <x:c r="G7" s="21" t="n">
        <x:v>240</x:v>
      </x:c>
      <x:c r="H7" s="21" t="n">
        <x:v>4</x:v>
      </x:c>
      <x:c r="I7" s="22" t="str">
        <x:v>击败 烛矿采掘者讨伐 ×1</x:v>
      </x:c>
      <x:c r="J7" s="23" t="n">
        <x:v>0</x:v>
      </x:c>
      <x:c r="K7" s="17" t="n">
        <x:f>D7/3600</x:f>
        <x:v>5</x:v>
      </x:c>
      <x:c r="L7" s="17" t="n">
        <x:f>E7/K7</x:f>
        <x:v>4</x:v>
      </x:c>
      <x:c r="M7" s="17" t="n">
        <x:f>G7/E7</x:f>
        <x:v>12</x:v>
      </x:c>
      <x:c r="N7" s="10" t="str">
        <x:v>需要等级及战斗里程碑；种下后不自动收获或续种。</x:v>
      </x:c>
      <x:c r="O7" s="10" t="str">
        <x:v>silverleaf</x:v>
      </x:c>
    </x:row>
    <x:row r="8" ht="58" customHeight="1">
      <x:c r="A8" s="9" t="str">
        <x:v>墓影藤</x:v>
      </x:c>
      <x:c r="B8" s="9" t="str">
        <x:v>区域特色</x:v>
      </x:c>
      <x:c r="C8" s="9" t="str">
        <x:v>墨雾幽林</x:v>
      </x:c>
      <x:c r="D8" s="18" t="n">
        <x:v>18000</x:v>
      </x:c>
      <x:c r="E8" s="18" t="n">
        <x:v>20</x:v>
      </x:c>
      <x:c r="F8" s="18" t="n">
        <x:v>240</x:v>
      </x:c>
      <x:c r="G8" s="18" t="n">
        <x:v>240</x:v>
      </x:c>
      <x:c r="H8" s="18" t="n">
        <x:v>4</x:v>
      </x:c>
      <x:c r="I8" s="19" t="str">
        <x:v>击败 幽灯侍者讨伐 ×1</x:v>
      </x:c>
      <x:c r="J8" s="20" t="n">
        <x:v>0</x:v>
      </x:c>
      <x:c r="K8" s="16" t="n">
        <x:f>D8/3600</x:f>
        <x:v>5</x:v>
      </x:c>
      <x:c r="L8" s="16" t="n">
        <x:f>E8/K8</x:f>
        <x:v>4</x:v>
      </x:c>
      <x:c r="M8" s="16" t="n">
        <x:f>G8/E8</x:f>
        <x:v>12</x:v>
      </x:c>
      <x:c r="N8" s="9" t="str">
        <x:v>需要等级及战斗里程碑；种下后不自动收获或续种。</x:v>
      </x:c>
      <x:c r="O8" s="9" t="str">
        <x:v>tirisfal-shadowvine</x:v>
      </x:c>
    </x:row>
    <x:row r="9" ht="58" customHeight="1">
      <x:c r="A9" s="10" t="str">
        <x:v>火棘花</x:v>
      </x:c>
      <x:c r="B9" s="10" t="str">
        <x:v>区域特色</x:v>
      </x:c>
      <x:c r="C9" s="10" t="str">
        <x:v>赤烬荒原</x:v>
      </x:c>
      <x:c r="D9" s="21" t="n">
        <x:v>18000</x:v>
      </x:c>
      <x:c r="E9" s="21" t="n">
        <x:v>20</x:v>
      </x:c>
      <x:c r="F9" s="21" t="n">
        <x:v>240</x:v>
      </x:c>
      <x:c r="G9" s="21" t="n">
        <x:v>240</x:v>
      </x:c>
      <x:c r="H9" s="21" t="n">
        <x:v>4</x:v>
      </x:c>
      <x:c r="I9" s="22" t="str">
        <x:v>击败 灰炬教徒讨伐 ×1</x:v>
      </x:c>
      <x:c r="J9" s="23" t="n">
        <x:v>0</x:v>
      </x:c>
      <x:c r="K9" s="17" t="n">
        <x:f>D9/3600</x:f>
        <x:v>5</x:v>
      </x:c>
      <x:c r="L9" s="17" t="n">
        <x:f>E9/K9</x:f>
        <x:v>4</x:v>
      </x:c>
      <x:c r="M9" s="17" t="n">
        <x:f>G9/E9</x:f>
        <x:v>12</x:v>
      </x:c>
      <x:c r="N9" s="10" t="str">
        <x:v>需要等级及战斗里程碑；种下后不自动收获或续种。</x:v>
      </x:c>
      <x:c r="O9" s="10" t="str">
        <x:v>durotar-firethorn</x:v>
      </x:c>
    </x:row>
    <x:row r="10" ht="58" customHeight="1">
      <x:c r="A10" s="9" t="str">
        <x:v>镜泉根</x:v>
      </x:c>
      <x:c r="B10" s="9" t="str">
        <x:v>区域特色</x:v>
      </x:c>
      <x:c r="C10" s="9" t="str">
        <x:v>雾凇雪境</x:v>
      </x:c>
      <x:c r="D10" s="18" t="n">
        <x:v>18000</x:v>
      </x:c>
      <x:c r="E10" s="18" t="n">
        <x:v>20</x:v>
      </x:c>
      <x:c r="F10" s="18" t="n">
        <x:v>240</x:v>
      </x:c>
      <x:c r="G10" s="18" t="n">
        <x:v>240</x:v>
      </x:c>
      <x:c r="H10" s="18" t="n">
        <x:v>4</x:v>
      </x:c>
      <x:c r="I10" s="19" t="str">
        <x:v>击败 冻甲野猪讨伐 ×1</x:v>
      </x:c>
      <x:c r="J10" s="20" t="n">
        <x:v>0</x:v>
      </x:c>
      <x:c r="K10" s="16" t="n">
        <x:f>D10/3600</x:f>
        <x:v>5</x:v>
      </x:c>
      <x:c r="L10" s="16" t="n">
        <x:f>E10/K10</x:f>
        <x:v>4</x:v>
      </x:c>
      <x:c r="M10" s="16" t="n">
        <x:f>G10/E10</x:f>
        <x:v>12</x:v>
      </x:c>
      <x:c r="N10" s="9" t="str">
        <x:v>需要等级及战斗里程碑；种下后不自动收获或续种。</x:v>
      </x:c>
      <x:c r="O10" s="9" t="str">
        <x:v>dun-morogh-springroot</x:v>
      </x:c>
    </x:row>
    <x:row r="11" ht="58" customHeight="1">
      <x:c r="A11" s="10" t="str">
        <x:v>风铃草</x:v>
      </x:c>
      <x:c r="B11" s="10" t="str">
        <x:v>区域特色</x:v>
      </x:c>
      <x:c r="C11" s="10" t="str">
        <x:v>长风原野</x:v>
      </x:c>
      <x:c r="D11" s="21" t="n">
        <x:v>18000</x:v>
      </x:c>
      <x:c r="E11" s="21" t="n">
        <x:v>20</x:v>
      </x:c>
      <x:c r="F11" s="21" t="n">
        <x:v>240</x:v>
      </x:c>
      <x:c r="G11" s="21" t="n">
        <x:v>240</x:v>
      </x:c>
      <x:c r="H11" s="21" t="n">
        <x:v>4</x:v>
      </x:c>
      <x:c r="I11" s="22" t="str">
        <x:v>击败 断枝伐木客讨伐 ×1</x:v>
      </x:c>
      <x:c r="J11" s="23" t="n">
        <x:v>0</x:v>
      </x:c>
      <x:c r="K11" s="17" t="n">
        <x:f>D11/3600</x:f>
        <x:v>5</x:v>
      </x:c>
      <x:c r="L11" s="17" t="n">
        <x:f>E11/K11</x:f>
        <x:v>4</x:v>
      </x:c>
      <x:c r="M11" s="17" t="n">
        <x:f>G11/E11</x:f>
        <x:v>12</x:v>
      </x:c>
      <x:c r="N11" s="10" t="str">
        <x:v>需要等级及战斗里程碑；种下后不自动收获或续种。</x:v>
      </x:c>
      <x:c r="O11" s="10" t="str">
        <x:v>mulgore-windbell</x:v>
      </x:c>
    </x:row>
    <x:row r="12" ht="58" customHeight="1">
      <x:c r="A12" s="9" t="str">
        <x:v>晨光花</x:v>
      </x:c>
      <x:c r="B12" s="9" t="str">
        <x:v>区域特色</x:v>
      </x:c>
      <x:c r="C12" s="9" t="str">
        <x:v>琉辉之森</x:v>
      </x:c>
      <x:c r="D12" s="18" t="n">
        <x:v>18000</x:v>
      </x:c>
      <x:c r="E12" s="18" t="n">
        <x:v>20</x:v>
      </x:c>
      <x:c r="F12" s="18" t="n">
        <x:v>240</x:v>
      </x:c>
      <x:c r="G12" s="18" t="n">
        <x:v>240</x:v>
      </x:c>
      <x:c r="H12" s="18" t="n">
        <x:v>4</x:v>
      </x:c>
      <x:c r="I12" s="19" t="str">
        <x:v>击败 光纹石哨讨伐 ×1</x:v>
      </x:c>
      <x:c r="J12" s="20" t="n">
        <x:v>0</x:v>
      </x:c>
      <x:c r="K12" s="16" t="n">
        <x:f>D12/3600</x:f>
        <x:v>5</x:v>
      </x:c>
      <x:c r="L12" s="16" t="n">
        <x:f>E12/K12</x:f>
        <x:v>4</x:v>
      </x:c>
      <x:c r="M12" s="16" t="n">
        <x:f>G12/E12</x:f>
        <x:v>12</x:v>
      </x:c>
      <x:c r="N12" s="9" t="str">
        <x:v>需要等级及战斗里程碑；种下后不自动收获或续种。</x:v>
      </x:c>
      <x:c r="O12" s="9" t="str">
        <x:v>eversong-dawnflower</x:v>
      </x:c>
    </x:row>
    <x:row r="13" ht="58" customHeight="1">
      <x:c r="A13" s="10" t="str">
        <x:v>地根草</x:v>
      </x:c>
      <x:c r="B13" s="10" t="str">
        <x:v>稀有</x:v>
      </x:c>
      <x:c r="C13" s="10" t="str">
        <x:v>岩芽林地</x:v>
      </x:c>
      <x:c r="D13" s="21" t="n">
        <x:v>21600</x:v>
      </x:c>
      <x:c r="E13" s="21" t="n">
        <x:v>4</x:v>
      </x:c>
      <x:c r="F13" s="21" t="n">
        <x:v>0</x:v>
      </x:c>
      <x:c r="G13" s="21" t="str">
        <x:v>不出售</x:v>
      </x:c>
      <x:c r="H13" s="21" t="n">
        <x:v>9</x:v>
      </x:c>
      <x:c r="I13" s="22" t="str">
        <x:v>通关 烛井矿窟 ×1</x:v>
      </x:c>
      <x:c r="J13" s="23" t="n">
        <x:v>0.2</x:v>
      </x:c>
      <x:c r="K13" s="17" t="n">
        <x:f>D13/3600</x:f>
        <x:v>6</x:v>
      </x:c>
      <x:c r="L13" s="17" t="n">
        <x:f>E13/K13</x:f>
        <x:v>0.6666666666666666</x:v>
      </x:c>
      <x:c r="M13" s="17" t="str">
        <x:v>不可定价</x:v>
      </x:c>
      <x:c r="N13" s="10" t="str">
        <x:v>种子不出售；持有即可种植，等级字段不限制稀有种植。</x:v>
      </x:c>
      <x:c r="O13" s="10" t="str">
        <x:v>earthroot</x:v>
      </x:c>
    </x:row>
    <x:row r="14" ht="58" customHeight="1">
      <x:c r="A14" s="9" t="str">
        <x:v>墓穴孢子</x:v>
      </x:c>
      <x:c r="B14" s="9" t="str">
        <x:v>稀有</x:v>
      </x:c>
      <x:c r="C14" s="9" t="str">
        <x:v>墨雾幽林</x:v>
      </x:c>
      <x:c r="D14" s="18" t="n">
        <x:v>21600</x:v>
      </x:c>
      <x:c r="E14" s="18" t="n">
        <x:v>4</x:v>
      </x:c>
      <x:c r="F14" s="18" t="n">
        <x:v>0</x:v>
      </x:c>
      <x:c r="G14" s="18" t="str">
        <x:v>不出售</x:v>
      </x:c>
      <x:c r="H14" s="18" t="n">
        <x:v>9</x:v>
      </x:c>
      <x:c r="I14" s="19" t="str">
        <x:v>通关 缄丝峡谷 ×1</x:v>
      </x:c>
      <x:c r="J14" s="20" t="n">
        <x:v>0.2</x:v>
      </x:c>
      <x:c r="K14" s="16" t="n">
        <x:f>D14/3600</x:f>
        <x:v>6</x:v>
      </x:c>
      <x:c r="L14" s="16" t="n">
        <x:f>E14/K14</x:f>
        <x:v>0.6666666666666666</x:v>
      </x:c>
      <x:c r="M14" s="16" t="str">
        <x:v>不可定价</x:v>
      </x:c>
      <x:c r="N14" s="9" t="str">
        <x:v>种子不出售；持有即可种植，等级字段不限制稀有种植。</x:v>
      </x:c>
      <x:c r="O14" s="9" t="str">
        <x:v>tirisfal-crypt-spore</x:v>
      </x:c>
    </x:row>
    <x:row r="15" ht="58" customHeight="1">
      <x:c r="A15" s="10" t="str">
        <x:v>熔心根</x:v>
      </x:c>
      <x:c r="B15" s="10" t="str">
        <x:v>稀有</x:v>
      </x:c>
      <x:c r="C15" s="10" t="str">
        <x:v>赤烬荒原</x:v>
      </x:c>
      <x:c r="D15" s="21" t="n">
        <x:v>21600</x:v>
      </x:c>
      <x:c r="E15" s="21" t="n">
        <x:v>4</x:v>
      </x:c>
      <x:c r="F15" s="21" t="n">
        <x:v>0</x:v>
      </x:c>
      <x:c r="G15" s="21" t="str">
        <x:v>不出售</x:v>
      </x:c>
      <x:c r="H15" s="21" t="n">
        <x:v>9</x:v>
      </x:c>
      <x:c r="I15" s="22" t="str">
        <x:v>通关 燧渊裂隙 ×1</x:v>
      </x:c>
      <x:c r="J15" s="23" t="n">
        <x:v>0.2</x:v>
      </x:c>
      <x:c r="K15" s="17" t="n">
        <x:f>D15/3600</x:f>
        <x:v>6</x:v>
      </x:c>
      <x:c r="L15" s="17" t="n">
        <x:f>E15/K15</x:f>
        <x:v>0.6666666666666666</x:v>
      </x:c>
      <x:c r="M15" s="17" t="str">
        <x:v>不可定价</x:v>
      </x:c>
      <x:c r="N15" s="10" t="str">
        <x:v>种子不出售；持有即可种植，等级字段不限制稀有种植。</x:v>
      </x:c>
      <x:c r="O15" s="10" t="str">
        <x:v>durotar-cinderroot</x:v>
      </x:c>
    </x:row>
    <x:row r="16" ht="58" customHeight="1">
      <x:c r="A16" s="9" t="str">
        <x:v>冰帽花</x:v>
      </x:c>
      <x:c r="B16" s="9" t="str">
        <x:v>稀有</x:v>
      </x:c>
      <x:c r="C16" s="9" t="str">
        <x:v>雾凇雪境</x:v>
      </x:c>
      <x:c r="D16" s="18" t="n">
        <x:v>21600</x:v>
      </x:c>
      <x:c r="E16" s="18" t="n">
        <x:v>4</x:v>
      </x:c>
      <x:c r="F16" s="18" t="n">
        <x:v>0</x:v>
      </x:c>
      <x:c r="G16" s="18" t="str">
        <x:v>不出售</x:v>
      </x:c>
      <x:c r="H16" s="18" t="n">
        <x:v>9</x:v>
      </x:c>
      <x:c r="I16" s="19" t="str">
        <x:v>通关 镜泉冰窟 ×1</x:v>
      </x:c>
      <x:c r="J16" s="20" t="n">
        <x:v>0.2</x:v>
      </x:c>
      <x:c r="K16" s="16" t="n">
        <x:f>D16/3600</x:f>
        <x:v>6</x:v>
      </x:c>
      <x:c r="L16" s="16" t="n">
        <x:f>E16/K16</x:f>
        <x:v>0.6666666666666666</x:v>
      </x:c>
      <x:c r="M16" s="16" t="str">
        <x:v>不可定价</x:v>
      </x:c>
      <x:c r="N16" s="9" t="str">
        <x:v>种子不出售；持有即可种植，等级字段不限制稀有种植。</x:v>
      </x:c>
      <x:c r="O16" s="9" t="str">
        <x:v>dun-morogh-icecap</x:v>
      </x:c>
    </x:row>
    <x:row r="17" ht="58" customHeight="1">
      <x:c r="A17" s="10" t="str">
        <x:v>雷鸣草</x:v>
      </x:c>
      <x:c r="B17" s="10" t="str">
        <x:v>稀有</x:v>
      </x:c>
      <x:c r="C17" s="10" t="str">
        <x:v>长风原野</x:v>
      </x:c>
      <x:c r="D17" s="21" t="n">
        <x:v>21600</x:v>
      </x:c>
      <x:c r="E17" s="21" t="n">
        <x:v>4</x:v>
      </x:c>
      <x:c r="F17" s="21" t="n">
        <x:v>0</x:v>
      </x:c>
      <x:c r="G17" s="21" t="str">
        <x:v>不出售</x:v>
      </x:c>
      <x:c r="H17" s="21" t="n">
        <x:v>9</x:v>
      </x:c>
      <x:c r="I17" s="22" t="str">
        <x:v>通关 裂翎高巢 ×1</x:v>
      </x:c>
      <x:c r="J17" s="23" t="n">
        <x:v>0.2</x:v>
      </x:c>
      <x:c r="K17" s="17" t="n">
        <x:f>D17/3600</x:f>
        <x:v>6</x:v>
      </x:c>
      <x:c r="L17" s="17" t="n">
        <x:f>E17/K17</x:f>
        <x:v>0.6666666666666666</x:v>
      </x:c>
      <x:c r="M17" s="17" t="str">
        <x:v>不可定价</x:v>
      </x:c>
      <x:c r="N17" s="10" t="str">
        <x:v>种子不出售；持有即可种植，等级字段不限制稀有种植。</x:v>
      </x:c>
      <x:c r="O17" s="10" t="str">
        <x:v>mulgore-stormseed</x:v>
      </x:c>
    </x:row>
    <x:row r="18" ht="58" customHeight="1">
      <x:c r="A18" s="9" t="str">
        <x:v>日耀花蕊</x:v>
      </x:c>
      <x:c r="B18" s="9" t="str">
        <x:v>稀有</x:v>
      </x:c>
      <x:c r="C18" s="9" t="str">
        <x:v>琉辉之森</x:v>
      </x:c>
      <x:c r="D18" s="18" t="n">
        <x:v>21600</x:v>
      </x:c>
      <x:c r="E18" s="18" t="n">
        <x:v>4</x:v>
      </x:c>
      <x:c r="F18" s="18" t="n">
        <x:v>0</x:v>
      </x:c>
      <x:c r="G18" s="18" t="str">
        <x:v>不出售</x:v>
      </x:c>
      <x:c r="H18" s="18" t="n">
        <x:v>9</x:v>
      </x:c>
      <x:c r="I18" s="19" t="str">
        <x:v>通关 琉辉旧庭 ×1</x:v>
      </x:c>
      <x:c r="J18" s="20" t="n">
        <x:v>0.2</x:v>
      </x:c>
      <x:c r="K18" s="16" t="n">
        <x:f>D18/3600</x:f>
        <x:v>6</x:v>
      </x:c>
      <x:c r="L18" s="16" t="n">
        <x:f>E18/K18</x:f>
        <x:v>0.6666666666666666</x:v>
      </x:c>
      <x:c r="M18" s="16" t="str">
        <x:v>不可定价</x:v>
      </x:c>
      <x:c r="N18" s="9" t="str">
        <x:v>种子不出售；持有即可种植，等级字段不限制稀有种植。</x:v>
      </x:c>
      <x:c r="O18" s="9" t="str">
        <x:v>eversong-sunpetal</x:v>
      </x:c>
    </x:row>
    <x:row r="19" ht="3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3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42" customHeight="1">
      <x:c r="A21" s="2" t="str">
        <x:v>产量口径</x:v>
      </x:c>
      <x:c r="B21" s="10" t="str">
        <x:v>单田平均产量＝一次产量÷成熟小时；需及时收获续种。实际是每 4 / 5 / 6 小时成批收获。</x:v>
      </x:c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2"/>
    </x:row>
    <x:row r="22" ht="42" customHeight="1">
      <x:c r="A22" s="2" t="str">
        <x:v>稀有来源</x:v>
      </x:c>
      <x:c r="B22" s="10" t="str">
        <x:v>每次符合条件的入口副本通关，每位实际参与角色 20% 概率获得 1 粒种子；成熟后 4 株。深层副本代码未配置掉落。</x:v>
      </x:c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2"/>
    </x:row>
    <x:row r="23" ht="3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3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3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3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3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3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</x:sheetData>
  <x:mergeCells>
    <x:mergeCell ref="B21:N21"/>
    <x:mergeCell ref="B22:N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47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47" hidden="0" customWidth="1"/>
    <x:col min="17" max="17" width="43" hidden="0" customWidth="1"/>
    <x:col min="18" max="18" width="41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6" customHeight="1">
      <x:c r="A2" s="3" t="str">
        <x:v>炼金配方、成本与产能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4" t="str">
        <x:v>来源：当前 Production 配置；已知金耗只计商店种子，稀有掉落和旧石南草的机会成本另计。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42" customHeight="1">
      <x:c r="A5" s="7" t="str">
        <x:v>药剂</x:v>
      </x:c>
      <x:c r="B5" s="7" t="str">
        <x:v>宁神花/批</x:v>
      </x:c>
      <x:c r="C5" s="7" t="str">
        <x:v>特色草/批</x:v>
      </x:c>
      <x:c r="D5" s="7" t="str">
        <x:v>稀有草/批</x:v>
      </x:c>
      <x:c r="E5" s="7" t="str">
        <x:v>石南草/批</x:v>
      </x:c>
      <x:c r="F5" s="7" t="str">
        <x:v>特色草药</x:v>
      </x:c>
      <x:c r="G5" s="7" t="str">
        <x:v>稀有草药</x:v>
      </x:c>
      <x:c r="H5" s="7" t="str">
        <x:v>产瓶/批</x:v>
      </x:c>
      <x:c r="I5" s="7" t="str">
        <x:v>秒/批</x:v>
      </x:c>
      <x:c r="J5" s="7" t="str">
        <x:v>最低等级</x:v>
      </x:c>
      <x:c r="K5" s="7" t="str">
        <x:v>解锁条件</x:v>
      </x:c>
      <x:c r="L5" s="7" t="str">
        <x:v>已知金耗/瓶</x:v>
      </x:c>
      <x:c r="M5" s="7" t="str">
        <x:v>占田小时/瓶</x:v>
      </x:c>
      <x:c r="N5" s="7" t="str">
        <x:v>四田瓶/小时</x:v>
      </x:c>
      <x:c r="O5" s="7" t="str">
        <x:v>炼金瓶/小时</x:v>
      </x:c>
      <x:c r="P5" s="7" t="str">
        <x:v>成本/供给说明</x:v>
      </x:c>
      <x:c r="Q5" s="7" t="str">
        <x:v>配方代码</x:v>
      </x:c>
      <x:c r="R5" s="7" t="str">
        <x:v>产物代码</x:v>
      </x:c>
    </x:row>
    <x:row r="6" ht="62" customHeight="1">
      <x:c r="A6" s="9" t="str">
        <x:v>小型治疗药水</x:v>
      </x:c>
      <x:c r="B6" s="19" t="n">
        <x:v>2</x:v>
      </x:c>
      <x:c r="C6" s="19" t="n">
        <x:v>0</x:v>
      </x:c>
      <x:c r="D6" s="19" t="n">
        <x:v>0</x:v>
      </x:c>
      <x:c r="E6" s="19" t="n">
        <x:v>0</x:v>
      </x:c>
      <x:c r="F6" s="19" t="str">
        <x:v>—</x:v>
      </x:c>
      <x:c r="G6" s="19" t="str">
        <x:v>—</x:v>
      </x:c>
      <x:c r="H6" s="19" t="n">
        <x:v>1</x:v>
      </x:c>
      <x:c r="I6" s="19" t="n">
        <x:v>10</x:v>
      </x:c>
      <x:c r="J6" s="19" t="n">
        <x:v>1</x:v>
      </x:c>
      <x:c r="K6" s="9" t="str">
        <x:v>击败 岩芽幼狼讨伐 / 墨翼蝠讨伐 / 燧谷野猪讨伐 / 雪绒躁兔讨伐 / 长足原鸟讨伐 / 琉叶幼豹讨伐 ×1</x:v>
      </x:c>
      <x:c r="L6" s="16" t="n">
        <x:f>(B6*'药田'!M6)/H6</x:f>
        <x:v>6</x:v>
      </x:c>
      <x:c r="M6" s="16" t="n">
        <x:f>(B6/'药田'!L6)/H6</x:f>
        <x:v>0.2</x:v>
      </x:c>
      <x:c r="N6" s="16" t="n">
        <x:f>'药田'!$B$3/M6</x:f>
        <x:v>20</x:v>
      </x:c>
      <x:c r="O6" s="16" t="n">
        <x:f>3600/I6*H6</x:f>
        <x:v>360</x:v>
      </x:c>
      <x:c r="P6" s="9" t="str">
        <x:v>金耗仅种子；不含人工收获续种等待。</x:v>
      </x:c>
      <x:c r="Q6" s="9" t="str">
        <x:v>minor-healing-potion</x:v>
      </x:c>
      <x:c r="R6" s="9" t="str">
        <x:v>minor-healing-potion</x:v>
      </x:c>
    </x:row>
    <x:row r="7" ht="62" customHeight="1">
      <x:c r="A7" s="10" t="str">
        <x:v>岩芽战意药剂</x:v>
      </x:c>
      <x:c r="B7" s="22" t="n">
        <x:v>3</x:v>
      </x:c>
      <x:c r="C7" s="22" t="n">
        <x:v>0</x:v>
      </x:c>
      <x:c r="D7" s="22" t="n">
        <x:v>0</x:v>
      </x:c>
      <x:c r="E7" s="22" t="n">
        <x:v>0</x:v>
      </x:c>
      <x:c r="F7" s="22" t="str">
        <x:v>—</x:v>
      </x:c>
      <x:c r="G7" s="22" t="str">
        <x:v>—</x:v>
      </x:c>
      <x:c r="H7" s="22" t="n">
        <x:v>1</x:v>
      </x:c>
      <x:c r="I7" s="22" t="n">
        <x:v>10</x:v>
      </x:c>
      <x:c r="J7" s="22" t="n">
        <x:v>1</x:v>
      </x:c>
      <x:c r="K7" s="10" t="str">
        <x:v>击败 岩芽幼狼讨伐 ×1</x:v>
      </x:c>
      <x:c r="L7" s="17" t="n">
        <x:f>(B7*'药田'!M6)/H7</x:f>
        <x:v>9</x:v>
      </x:c>
      <x:c r="M7" s="17" t="n">
        <x:f>(B7/'药田'!L6)/H7</x:f>
        <x:v>0.3</x:v>
      </x:c>
      <x:c r="N7" s="17" t="n">
        <x:f>'药田'!$B$3/M7</x:f>
        <x:v>13.333333333333334</x:v>
      </x:c>
      <x:c r="O7" s="17" t="n">
        <x:f>3600/I7*H7</x:f>
        <x:v>360</x:v>
      </x:c>
      <x:c r="P7" s="10" t="str">
        <x:v>金耗仅种子；不含人工收获续种等待。</x:v>
      </x:c>
      <x:c r="Q7" s="10" t="str">
        <x:v>northshire-battle-draught</x:v>
      </x:c>
      <x:c r="R7" s="10" t="str">
        <x:v>northshire-battle-draught</x:v>
      </x:c>
    </x:row>
    <x:row r="8" ht="62" customHeight="1">
      <x:c r="A8" s="9" t="str">
        <x:v>磨刃药油</x:v>
      </x:c>
      <x:c r="B8" s="19" t="n">
        <x:v>2</x:v>
      </x:c>
      <x:c r="C8" s="19" t="n">
        <x:v>0</x:v>
      </x:c>
      <x:c r="D8" s="19" t="n">
        <x:v>0</x:v>
      </x:c>
      <x:c r="E8" s="19" t="n">
        <x:v>0</x:v>
      </x:c>
      <x:c r="F8" s="19" t="str">
        <x:v>—</x:v>
      </x:c>
      <x:c r="G8" s="19" t="str">
        <x:v>—</x:v>
      </x:c>
      <x:c r="H8" s="19" t="n">
        <x:v>1</x:v>
      </x:c>
      <x:c r="I8" s="19" t="n">
        <x:v>10</x:v>
      </x:c>
      <x:c r="J8" s="19" t="n">
        <x:v>3</x:v>
      </x:c>
      <x:c r="K8" s="9" t="str">
        <x:v>击败 岩牙野猪讨伐 / 枯骸吞噬者讨伐 / 焦鳞疾爪龙讨伐 / 冰砾掘穴者讨伐 / 荆鬣拾荒者讨伐 / 棱枝树灵讨伐 ×1</x:v>
      </x:c>
      <x:c r="L8" s="16" t="n">
        <x:f>(B8*'药田'!M6)/H8</x:f>
        <x:v>6</x:v>
      </x:c>
      <x:c r="M8" s="16" t="n">
        <x:f>(B8/'药田'!L6)/H8</x:f>
        <x:v>0.2</x:v>
      </x:c>
      <x:c r="N8" s="16" t="n">
        <x:f>'药田'!$B$3/M8</x:f>
        <x:v>20</x:v>
      </x:c>
      <x:c r="O8" s="16" t="n">
        <x:f>3600/I8*H8</x:f>
        <x:v>360</x:v>
      </x:c>
      <x:c r="P8" s="9" t="str">
        <x:v>金耗仅种子；不含人工收获续种等待。</x:v>
      </x:c>
      <x:c r="Q8" s="9" t="str">
        <x:v>whetstone-oil-elwynn</x:v>
      </x:c>
      <x:c r="R8" s="9" t="str">
        <x:v>whetstone-oil</x:v>
      </x:c>
    </x:row>
    <x:row r="9" ht="62" customHeight="1">
      <x:c r="A9" s="10" t="str">
        <x:v>行旅治疗药水</x:v>
      </x:c>
      <x:c r="B9" s="22" t="n">
        <x:v>2</x:v>
      </x:c>
      <x:c r="C9" s="22" t="n">
        <x:v>0</x:v>
      </x:c>
      <x:c r="D9" s="22" t="n">
        <x:v>0</x:v>
      </x:c>
      <x:c r="E9" s="22" t="n">
        <x:v>0</x:v>
      </x:c>
      <x:c r="F9" s="22" t="str">
        <x:v>—</x:v>
      </x:c>
      <x:c r="G9" s="22" t="str">
        <x:v>—</x:v>
      </x:c>
      <x:c r="H9" s="22" t="n">
        <x:v>2</x:v>
      </x:c>
      <x:c r="I9" s="22" t="n">
        <x:v>10</x:v>
      </x:c>
      <x:c r="J9" s="22" t="n">
        <x:v>7</x:v>
      </x:c>
      <x:c r="K9" s="10" t="str">
        <x:v>击败 烛矿采掘者讨伐 ×1</x:v>
      </x:c>
      <x:c r="L9" s="17" t="n">
        <x:f>(B9*'药田'!M6)/H9</x:f>
        <x:v>3</x:v>
      </x:c>
      <x:c r="M9" s="17" t="n">
        <x:f>(B9/'药田'!L6)/H9</x:f>
        <x:v>0.1</x:v>
      </x:c>
      <x:c r="N9" s="17" t="n">
        <x:f>'药田'!$B$3/M9</x:f>
        <x:v>40</x:v>
      </x:c>
      <x:c r="O9" s="17" t="n">
        <x:f>3600/I9*H9</x:f>
        <x:v>720</x:v>
      </x:c>
      <x:c r="P9" s="10" t="str">
        <x:v>金耗仅种子；不含人工收获续种等待。</x:v>
      </x:c>
      <x:c r="Q9" s="10" t="str">
        <x:v>travel-healing-potion-elwynn</x:v>
      </x:c>
      <x:c r="R9" s="10" t="str">
        <x:v>travel-healing-potion</x:v>
      </x:c>
    </x:row>
    <x:row r="10" ht="62" customHeight="1">
      <x:c r="A10" s="9" t="str">
        <x:v>强攻合剂</x:v>
      </x:c>
      <x:c r="B10" s="19" t="n">
        <x:v>2</x:v>
      </x:c>
      <x:c r="C10" s="19" t="n">
        <x:v>1</x:v>
      </x:c>
      <x:c r="D10" s="19" t="n">
        <x:v>0</x:v>
      </x:c>
      <x:c r="E10" s="19" t="n">
        <x:v>0</x:v>
      </x:c>
      <x:c r="F10" s="19" t="str">
        <x:v>银叶草</x:v>
      </x:c>
      <x:c r="G10" s="19" t="str">
        <x:v>—</x:v>
      </x:c>
      <x:c r="H10" s="19" t="n">
        <x:v>1</x:v>
      </x:c>
      <x:c r="I10" s="19" t="n">
        <x:v>10</x:v>
      </x:c>
      <x:c r="J10" s="19" t="n">
        <x:v>6</x:v>
      </x:c>
      <x:c r="K10" s="9" t="str">
        <x:v>击败 烛矿采掘者讨伐 ×1</x:v>
      </x:c>
      <x:c r="L10" s="16" t="n">
        <x:f>(B10*'药田'!M6+C10*'药田'!M7)/H10</x:f>
        <x:v>18</x:v>
      </x:c>
      <x:c r="M10" s="16" t="n">
        <x:f>(B10/'药田'!L6+C10/'药田'!L7)/H10</x:f>
        <x:v>0.45</x:v>
      </x:c>
      <x:c r="N10" s="16" t="n">
        <x:f>'药田'!$B$3/M10</x:f>
        <x:v>8.88888888888889</x:v>
      </x:c>
      <x:c r="O10" s="16" t="n">
        <x:f>3600/I10*H10</x:f>
        <x:v>360</x:v>
      </x:c>
      <x:c r="P10" s="9" t="str">
        <x:v>金耗仅种子；不含人工收获续种等待。</x:v>
      </x:c>
      <x:c r="Q10" s="9" t="str">
        <x:v>elwynn-assault-draught</x:v>
      </x:c>
      <x:c r="R10" s="9" t="str">
        <x:v>elwynn-assault-draught</x:v>
      </x:c>
    </x:row>
    <x:row r="11" ht="62" customHeight="1">
      <x:c r="A11" s="10" t="str">
        <x:v>强效强攻合剂</x:v>
      </x:c>
      <x:c r="B11" s="22" t="n">
        <x:v>1</x:v>
      </x:c>
      <x:c r="C11" s="22" t="n">
        <x:v>1</x:v>
      </x:c>
      <x:c r="D11" s="22" t="n">
        <x:v>1</x:v>
      </x:c>
      <x:c r="E11" s="22" t="n">
        <x:v>0</x:v>
      </x:c>
      <x:c r="F11" s="22" t="str">
        <x:v>银叶草</x:v>
      </x:c>
      <x:c r="G11" s="22" t="str">
        <x:v>地根草</x:v>
      </x:c>
      <x:c r="H11" s="22" t="n">
        <x:v>1</x:v>
      </x:c>
      <x:c r="I11" s="22" t="n">
        <x:v>10</x:v>
      </x:c>
      <x:c r="J11" s="22" t="n">
        <x:v>9</x:v>
      </x:c>
      <x:c r="K11" s="10" t="str">
        <x:v>通关 烛井矿窟 ×1</x:v>
      </x:c>
      <x:c r="L11" s="17" t="n">
        <x:f>(B11*'药田'!M6+C11*'药田'!M7)/H11</x:f>
        <x:v>15</x:v>
      </x:c>
      <x:c r="M11" s="17" t="n">
        <x:f>(B11/'药田'!L6+C11/'药田'!L7+D11/'药田'!L13)/H11</x:f>
        <x:v>1.85</x:v>
      </x:c>
      <x:c r="N11" s="17" t="n">
        <x:f>'药田'!$B$3/M11</x:f>
        <x:v>2.162162162162162</x:v>
      </x:c>
      <x:c r="O11" s="17" t="n">
        <x:f>3600/I11*H11</x:f>
        <x:v>360</x:v>
      </x:c>
      <x:c r="P11" s="10" t="str">
        <x:v>另耗稀有材料 1 株；金耗不含掉落、战斗与药田机会成本。</x:v>
      </x:c>
      <x:c r="Q11" s="10" t="str">
        <x:v>elwynn-assault-draught-batch</x:v>
      </x:c>
      <x:c r="R11" s="10" t="str">
        <x:v>greater-elwynn-assault-draught</x:v>
      </x:c>
    </x:row>
    <x:row r="12" ht="62" customHeight="1">
      <x:c r="A12" s="9" t="str">
        <x:v>暮影药剂</x:v>
      </x:c>
      <x:c r="B12" s="19" t="n">
        <x:v>1</x:v>
      </x:c>
      <x:c r="C12" s="19" t="n">
        <x:v>1</x:v>
      </x:c>
      <x:c r="D12" s="19" t="n">
        <x:v>0</x:v>
      </x:c>
      <x:c r="E12" s="19" t="n">
        <x:v>0</x:v>
      </x:c>
      <x:c r="F12" s="19" t="str">
        <x:v>墓影藤</x:v>
      </x:c>
      <x:c r="G12" s="19" t="str">
        <x:v>—</x:v>
      </x:c>
      <x:c r="H12" s="19" t="n">
        <x:v>1</x:v>
      </x:c>
      <x:c r="I12" s="19" t="n">
        <x:v>10</x:v>
      </x:c>
      <x:c r="J12" s="19" t="n">
        <x:v>4</x:v>
      </x:c>
      <x:c r="K12" s="9" t="str">
        <x:v>击败 幽灯侍者讨伐 ×1</x:v>
      </x:c>
      <x:c r="L12" s="16" t="n">
        <x:f>(B12*'药田'!M6+C12*'药田'!M8)/H12</x:f>
        <x:v>15</x:v>
      </x:c>
      <x:c r="M12" s="16" t="n">
        <x:f>(B12/'药田'!L6+C12/'药田'!L8)/H12</x:f>
        <x:v>0.35</x:v>
      </x:c>
      <x:c r="N12" s="16" t="n">
        <x:f>'药田'!$B$3/M12</x:f>
        <x:v>11.428571428571429</x:v>
      </x:c>
      <x:c r="O12" s="16" t="n">
        <x:f>3600/I12*H12</x:f>
        <x:v>360</x:v>
      </x:c>
      <x:c r="P12" s="9" t="str">
        <x:v>金耗仅种子；不含人工收获续种等待。</x:v>
      </x:c>
      <x:c r="Q12" s="9" t="str">
        <x:v>tirisfal-dusk-draught</x:v>
      </x:c>
      <x:c r="R12" s="9" t="str">
        <x:v>tirisfal-dusk-draught</x:v>
      </x:c>
    </x:row>
    <x:row r="13" ht="62" customHeight="1">
      <x:c r="A13" s="10" t="str">
        <x:v>强效暮影药剂</x:v>
      </x:c>
      <x:c r="B13" s="22" t="n">
        <x:v>1</x:v>
      </x:c>
      <x:c r="C13" s="22" t="n">
        <x:v>1</x:v>
      </x:c>
      <x:c r="D13" s="22" t="n">
        <x:v>1</x:v>
      </x:c>
      <x:c r="E13" s="22" t="n">
        <x:v>0</x:v>
      </x:c>
      <x:c r="F13" s="22" t="str">
        <x:v>墓影藤</x:v>
      </x:c>
      <x:c r="G13" s="22" t="str">
        <x:v>墓穴孢子</x:v>
      </x:c>
      <x:c r="H13" s="22" t="n">
        <x:v>1</x:v>
      </x:c>
      <x:c r="I13" s="22" t="n">
        <x:v>10</x:v>
      </x:c>
      <x:c r="J13" s="22" t="n">
        <x:v>9</x:v>
      </x:c>
      <x:c r="K13" s="10" t="str">
        <x:v>通关 缄丝峡谷 ×1</x:v>
      </x:c>
      <x:c r="L13" s="17" t="n">
        <x:f>(B13*'药田'!M6+C13*'药田'!M8)/H13</x:f>
        <x:v>15</x:v>
      </x:c>
      <x:c r="M13" s="17" t="n">
        <x:f>(B13/'药田'!L6+C13/'药田'!L8+D13/'药田'!L14)/H13</x:f>
        <x:v>1.85</x:v>
      </x:c>
      <x:c r="N13" s="17" t="n">
        <x:f>'药田'!$B$3/M13</x:f>
        <x:v>2.162162162162162</x:v>
      </x:c>
      <x:c r="O13" s="17" t="n">
        <x:f>3600/I13*H13</x:f>
        <x:v>360</x:v>
      </x:c>
      <x:c r="P13" s="10" t="str">
        <x:v>另耗稀有材料 1 株；金耗不含掉落、战斗与药田机会成本。</x:v>
      </x:c>
      <x:c r="Q13" s="10" t="str">
        <x:v>tirisfal-dusk-draught-batch</x:v>
      </x:c>
      <x:c r="R13" s="10" t="str">
        <x:v>greater-tirisfal-dusk-draught</x:v>
      </x:c>
    </x:row>
    <x:row r="14" ht="62" customHeight="1">
      <x:c r="A14" s="9" t="str">
        <x:v>燃血合剂</x:v>
      </x:c>
      <x:c r="B14" s="19" t="n">
        <x:v>2</x:v>
      </x:c>
      <x:c r="C14" s="19" t="n">
        <x:v>1</x:v>
      </x:c>
      <x:c r="D14" s="19" t="n">
        <x:v>0</x:v>
      </x:c>
      <x:c r="E14" s="19" t="n">
        <x:v>0</x:v>
      </x:c>
      <x:c r="F14" s="19" t="str">
        <x:v>火棘花</x:v>
      </x:c>
      <x:c r="G14" s="19" t="str">
        <x:v>—</x:v>
      </x:c>
      <x:c r="H14" s="19" t="n">
        <x:v>1</x:v>
      </x:c>
      <x:c r="I14" s="19" t="n">
        <x:v>10</x:v>
      </x:c>
      <x:c r="J14" s="19" t="n">
        <x:v>6</x:v>
      </x:c>
      <x:c r="K14" s="9" t="str">
        <x:v>击败 灰炬教徒讨伐 ×1</x:v>
      </x:c>
      <x:c r="L14" s="16" t="n">
        <x:f>(B14*'药田'!M6+C14*'药田'!M9)/H14</x:f>
        <x:v>18</x:v>
      </x:c>
      <x:c r="M14" s="16" t="n">
        <x:f>(B14/'药田'!L6+C14/'药田'!L9)/H14</x:f>
        <x:v>0.45</x:v>
      </x:c>
      <x:c r="N14" s="16" t="n">
        <x:f>'药田'!$B$3/M14</x:f>
        <x:v>8.88888888888889</x:v>
      </x:c>
      <x:c r="O14" s="16" t="n">
        <x:f>3600/I14*H14</x:f>
        <x:v>360</x:v>
      </x:c>
      <x:c r="P14" s="9" t="str">
        <x:v>金耗仅种子；不含人工收获续种等待。</x:v>
      </x:c>
      <x:c r="Q14" s="9" t="str">
        <x:v>durotar-bloodfire-draught</x:v>
      </x:c>
      <x:c r="R14" s="9" t="str">
        <x:v>durotar-bloodfire-draught</x:v>
      </x:c>
    </x:row>
    <x:row r="15" ht="62" customHeight="1">
      <x:c r="A15" s="10" t="str">
        <x:v>强效燃血合剂</x:v>
      </x:c>
      <x:c r="B15" s="22" t="n">
        <x:v>1</x:v>
      </x:c>
      <x:c r="C15" s="22" t="n">
        <x:v>1</x:v>
      </x:c>
      <x:c r="D15" s="22" t="n">
        <x:v>1</x:v>
      </x:c>
      <x:c r="E15" s="22" t="n">
        <x:v>0</x:v>
      </x:c>
      <x:c r="F15" s="22" t="str">
        <x:v>火棘花</x:v>
      </x:c>
      <x:c r="G15" s="22" t="str">
        <x:v>熔心根</x:v>
      </x:c>
      <x:c r="H15" s="22" t="n">
        <x:v>1</x:v>
      </x:c>
      <x:c r="I15" s="22" t="n">
        <x:v>10</x:v>
      </x:c>
      <x:c r="J15" s="22" t="n">
        <x:v>9</x:v>
      </x:c>
      <x:c r="K15" s="10" t="str">
        <x:v>通关 燧渊裂隙 ×1</x:v>
      </x:c>
      <x:c r="L15" s="17" t="n">
        <x:f>(B15*'药田'!M6+C15*'药田'!M9)/H15</x:f>
        <x:v>15</x:v>
      </x:c>
      <x:c r="M15" s="17" t="n">
        <x:f>(B15/'药田'!L6+C15/'药田'!L9+D15/'药田'!L15)/H15</x:f>
        <x:v>1.85</x:v>
      </x:c>
      <x:c r="N15" s="17" t="n">
        <x:f>'药田'!$B$3/M15</x:f>
        <x:v>2.162162162162162</x:v>
      </x:c>
      <x:c r="O15" s="17" t="n">
        <x:f>3600/I15*H15</x:f>
        <x:v>360</x:v>
      </x:c>
      <x:c r="P15" s="10" t="str">
        <x:v>另耗稀有材料 1 株；金耗不含掉落、战斗与药田机会成本。</x:v>
      </x:c>
      <x:c r="Q15" s="10" t="str">
        <x:v>durotar-bloodfire-draught-batch</x:v>
      </x:c>
      <x:c r="R15" s="10" t="str">
        <x:v>greater-durotar-bloodfire-draught</x:v>
      </x:c>
    </x:row>
    <x:row r="16" ht="62" customHeight="1">
      <x:c r="A16" s="9" t="str">
        <x:v>坚韧药剂</x:v>
      </x:c>
      <x:c r="B16" s="19" t="n">
        <x:v>1</x:v>
      </x:c>
      <x:c r="C16" s="19" t="n">
        <x:v>1</x:v>
      </x:c>
      <x:c r="D16" s="19" t="n">
        <x:v>0</x:v>
      </x:c>
      <x:c r="E16" s="19" t="n">
        <x:v>0</x:v>
      </x:c>
      <x:c r="F16" s="19" t="str">
        <x:v>镜泉根</x:v>
      </x:c>
      <x:c r="G16" s="19" t="str">
        <x:v>—</x:v>
      </x:c>
      <x:c r="H16" s="19" t="n">
        <x:v>1</x:v>
      </x:c>
      <x:c r="I16" s="19" t="n">
        <x:v>10</x:v>
      </x:c>
      <x:c r="J16" s="19" t="n">
        <x:v>4</x:v>
      </x:c>
      <x:c r="K16" s="9" t="str">
        <x:v>击败 冻甲野猪讨伐 ×1</x:v>
      </x:c>
      <x:c r="L16" s="16" t="n">
        <x:f>(B16*'药田'!M6+C16*'药田'!M10)/H16</x:f>
        <x:v>15</x:v>
      </x:c>
      <x:c r="M16" s="16" t="n">
        <x:f>(B16/'药田'!L6+C16/'药田'!L10)/H16</x:f>
        <x:v>0.35</x:v>
      </x:c>
      <x:c r="N16" s="16" t="n">
        <x:f>'药田'!$B$3/M16</x:f>
        <x:v>11.428571428571429</x:v>
      </x:c>
      <x:c r="O16" s="16" t="n">
        <x:f>3600/I16*H16</x:f>
        <x:v>360</x:v>
      </x:c>
      <x:c r="P16" s="9" t="str">
        <x:v>金耗仅种子；不含人工收获续种等待。</x:v>
      </x:c>
      <x:c r="Q16" s="9" t="str">
        <x:v>dun-morogh-fortitude-draught</x:v>
      </x:c>
      <x:c r="R16" s="9" t="str">
        <x:v>dun-morogh-fortitude-draught</x:v>
      </x:c>
    </x:row>
    <x:row r="17" ht="62" customHeight="1">
      <x:c r="A17" s="10" t="str">
        <x:v>强效坚韧药剂</x:v>
      </x:c>
      <x:c r="B17" s="22" t="n">
        <x:v>1</x:v>
      </x:c>
      <x:c r="C17" s="22" t="n">
        <x:v>1</x:v>
      </x:c>
      <x:c r="D17" s="22" t="n">
        <x:v>1</x:v>
      </x:c>
      <x:c r="E17" s="22" t="n">
        <x:v>0</x:v>
      </x:c>
      <x:c r="F17" s="22" t="str">
        <x:v>镜泉根</x:v>
      </x:c>
      <x:c r="G17" s="22" t="str">
        <x:v>冰帽花</x:v>
      </x:c>
      <x:c r="H17" s="22" t="n">
        <x:v>1</x:v>
      </x:c>
      <x:c r="I17" s="22" t="n">
        <x:v>10</x:v>
      </x:c>
      <x:c r="J17" s="22" t="n">
        <x:v>9</x:v>
      </x:c>
      <x:c r="K17" s="10" t="str">
        <x:v>通关 镜泉冰窟 ×1</x:v>
      </x:c>
      <x:c r="L17" s="17" t="n">
        <x:f>(B17*'药田'!M6+C17*'药田'!M10)/H17</x:f>
        <x:v>15</x:v>
      </x:c>
      <x:c r="M17" s="17" t="n">
        <x:f>(B17/'药田'!L6+C17/'药田'!L10+D17/'药田'!L16)/H17</x:f>
        <x:v>1.85</x:v>
      </x:c>
      <x:c r="N17" s="17" t="n">
        <x:f>'药田'!$B$3/M17</x:f>
        <x:v>2.162162162162162</x:v>
      </x:c>
      <x:c r="O17" s="17" t="n">
        <x:f>3600/I17*H17</x:f>
        <x:v>360</x:v>
      </x:c>
      <x:c r="P17" s="10" t="str">
        <x:v>另耗稀有材料 1 株；金耗不含掉落、战斗与药田机会成本。</x:v>
      </x:c>
      <x:c r="Q17" s="10" t="str">
        <x:v>dun-morogh-fortitude-draught-batch</x:v>
      </x:c>
      <x:c r="R17" s="10" t="str">
        <x:v>greater-dun-morogh-fortitude-draught</x:v>
      </x:c>
    </x:row>
    <x:row r="18" ht="62" customHeight="1">
      <x:c r="A18" s="9" t="str">
        <x:v>猎风合剂</x:v>
      </x:c>
      <x:c r="B18" s="19" t="n">
        <x:v>2</x:v>
      </x:c>
      <x:c r="C18" s="19" t="n">
        <x:v>1</x:v>
      </x:c>
      <x:c r="D18" s="19" t="n">
        <x:v>0</x:v>
      </x:c>
      <x:c r="E18" s="19" t="n">
        <x:v>0</x:v>
      </x:c>
      <x:c r="F18" s="19" t="str">
        <x:v>风铃草</x:v>
      </x:c>
      <x:c r="G18" s="19" t="str">
        <x:v>—</x:v>
      </x:c>
      <x:c r="H18" s="19" t="n">
        <x:v>1</x:v>
      </x:c>
      <x:c r="I18" s="19" t="n">
        <x:v>10</x:v>
      </x:c>
      <x:c r="J18" s="19" t="n">
        <x:v>6</x:v>
      </x:c>
      <x:c r="K18" s="9" t="str">
        <x:v>击败 断枝伐木客讨伐 ×1</x:v>
      </x:c>
      <x:c r="L18" s="16" t="n">
        <x:f>(B18*'药田'!M6+C18*'药田'!M11)/H18</x:f>
        <x:v>18</x:v>
      </x:c>
      <x:c r="M18" s="16" t="n">
        <x:f>(B18/'药田'!L6+C18/'药田'!L11)/H18</x:f>
        <x:v>0.45</x:v>
      </x:c>
      <x:c r="N18" s="16" t="n">
        <x:f>'药田'!$B$3/M18</x:f>
        <x:v>8.88888888888889</x:v>
      </x:c>
      <x:c r="O18" s="16" t="n">
        <x:f>3600/I18*H18</x:f>
        <x:v>360</x:v>
      </x:c>
      <x:c r="P18" s="9" t="str">
        <x:v>金耗仅种子；不含人工收获续种等待。</x:v>
      </x:c>
      <x:c r="Q18" s="9" t="str">
        <x:v>mulgore-hunter-draught</x:v>
      </x:c>
      <x:c r="R18" s="9" t="str">
        <x:v>mulgore-hunter-draught</x:v>
      </x:c>
    </x:row>
    <x:row r="19" ht="62" customHeight="1">
      <x:c r="A19" s="10" t="str">
        <x:v>强效猎风合剂</x:v>
      </x:c>
      <x:c r="B19" s="22" t="n">
        <x:v>1</x:v>
      </x:c>
      <x:c r="C19" s="22" t="n">
        <x:v>1</x:v>
      </x:c>
      <x:c r="D19" s="22" t="n">
        <x:v>1</x:v>
      </x:c>
      <x:c r="E19" s="22" t="n">
        <x:v>0</x:v>
      </x:c>
      <x:c r="F19" s="22" t="str">
        <x:v>风铃草</x:v>
      </x:c>
      <x:c r="G19" s="22" t="str">
        <x:v>雷鸣草</x:v>
      </x:c>
      <x:c r="H19" s="22" t="n">
        <x:v>1</x:v>
      </x:c>
      <x:c r="I19" s="22" t="n">
        <x:v>10</x:v>
      </x:c>
      <x:c r="J19" s="22" t="n">
        <x:v>9</x:v>
      </x:c>
      <x:c r="K19" s="10" t="str">
        <x:v>通关 裂翎高巢 ×1</x:v>
      </x:c>
      <x:c r="L19" s="17" t="n">
        <x:f>(B19*'药田'!M6+C19*'药田'!M11)/H19</x:f>
        <x:v>15</x:v>
      </x:c>
      <x:c r="M19" s="17" t="n">
        <x:f>(B19/'药田'!L6+C19/'药田'!L11+D19/'药田'!L17)/H19</x:f>
        <x:v>1.85</x:v>
      </x:c>
      <x:c r="N19" s="17" t="n">
        <x:f>'药田'!$B$3/M19</x:f>
        <x:v>2.162162162162162</x:v>
      </x:c>
      <x:c r="O19" s="17" t="n">
        <x:f>3600/I19*H19</x:f>
        <x:v>360</x:v>
      </x:c>
      <x:c r="P19" s="10" t="str">
        <x:v>另耗稀有材料 1 株；金耗不含掉落、战斗与药田机会成本。</x:v>
      </x:c>
      <x:c r="Q19" s="10" t="str">
        <x:v>mulgore-hunter-draught-batch</x:v>
      </x:c>
      <x:c r="R19" s="10" t="str">
        <x:v>greater-mulgore-hunter-draught</x:v>
      </x:c>
    </x:row>
    <x:row r="20" ht="62" customHeight="1">
      <x:c r="A20" s="9" t="str">
        <x:v>晨光灵感药剂</x:v>
      </x:c>
      <x:c r="B20" s="19" t="n">
        <x:v>1</x:v>
      </x:c>
      <x:c r="C20" s="19" t="n">
        <x:v>1</x:v>
      </x:c>
      <x:c r="D20" s="19" t="n">
        <x:v>0</x:v>
      </x:c>
      <x:c r="E20" s="19" t="n">
        <x:v>0</x:v>
      </x:c>
      <x:c r="F20" s="19" t="str">
        <x:v>晨光花</x:v>
      </x:c>
      <x:c r="G20" s="19" t="str">
        <x:v>—</x:v>
      </x:c>
      <x:c r="H20" s="19" t="n">
        <x:v>1</x:v>
      </x:c>
      <x:c r="I20" s="19" t="n">
        <x:v>10</x:v>
      </x:c>
      <x:c r="J20" s="19" t="n">
        <x:v>4</x:v>
      </x:c>
      <x:c r="K20" s="9" t="str">
        <x:v>击败 光纹石哨讨伐 ×1</x:v>
      </x:c>
      <x:c r="L20" s="16" t="n">
        <x:f>(B20*'药田'!M6+C20*'药田'!M12)/H20</x:f>
        <x:v>15</x:v>
      </x:c>
      <x:c r="M20" s="16" t="n">
        <x:f>(B20/'药田'!L6+C20/'药田'!L12)/H20</x:f>
        <x:v>0.35</x:v>
      </x:c>
      <x:c r="N20" s="16" t="n">
        <x:f>'药田'!$B$3/M20</x:f>
        <x:v>11.428571428571429</x:v>
      </x:c>
      <x:c r="O20" s="16" t="n">
        <x:f>3600/I20*H20</x:f>
        <x:v>360</x:v>
      </x:c>
      <x:c r="P20" s="9" t="str">
        <x:v>金耗仅种子；不含人工收获续种等待。</x:v>
      </x:c>
      <x:c r="Q20" s="9" t="str">
        <x:v>eversong-inspiration-draught</x:v>
      </x:c>
      <x:c r="R20" s="9" t="str">
        <x:v>eversong-inspiration-draught</x:v>
      </x:c>
    </x:row>
    <x:row r="21" ht="62" customHeight="1">
      <x:c r="A21" s="10" t="str">
        <x:v>强效晨光灵感药剂</x:v>
      </x:c>
      <x:c r="B21" s="22" t="n">
        <x:v>1</x:v>
      </x:c>
      <x:c r="C21" s="22" t="n">
        <x:v>1</x:v>
      </x:c>
      <x:c r="D21" s="22" t="n">
        <x:v>1</x:v>
      </x:c>
      <x:c r="E21" s="22" t="n">
        <x:v>0</x:v>
      </x:c>
      <x:c r="F21" s="22" t="str">
        <x:v>晨光花</x:v>
      </x:c>
      <x:c r="G21" s="22" t="str">
        <x:v>日耀花蕊</x:v>
      </x:c>
      <x:c r="H21" s="22" t="n">
        <x:v>1</x:v>
      </x:c>
      <x:c r="I21" s="22" t="n">
        <x:v>10</x:v>
      </x:c>
      <x:c r="J21" s="22" t="n">
        <x:v>9</x:v>
      </x:c>
      <x:c r="K21" s="10" t="str">
        <x:v>通关 琉辉旧庭 ×1</x:v>
      </x:c>
      <x:c r="L21" s="17" t="n">
        <x:f>(B21*'药田'!M6+C21*'药田'!M12)/H21</x:f>
        <x:v>15</x:v>
      </x:c>
      <x:c r="M21" s="17" t="n">
        <x:f>(B21/'药田'!L6+C21/'药田'!L12+D21/'药田'!L18)/H21</x:f>
        <x:v>1.85</x:v>
      </x:c>
      <x:c r="N21" s="17" t="n">
        <x:f>'药田'!$B$3/M21</x:f>
        <x:v>2.162162162162162</x:v>
      </x:c>
      <x:c r="O21" s="17" t="n">
        <x:f>3600/I21*H21</x:f>
        <x:v>360</x:v>
      </x:c>
      <x:c r="P21" s="10" t="str">
        <x:v>另耗稀有材料 1 株；金耗不含掉落、战斗与药田机会成本。</x:v>
      </x:c>
      <x:c r="Q21" s="10" t="str">
        <x:v>eversong-inspiration-draught-batch</x:v>
      </x:c>
      <x:c r="R21" s="10" t="str">
        <x:v>greater-eversong-inspiration-draught</x:v>
      </x:c>
    </x:row>
    <x:row r="22" ht="62" customHeight="1">
      <x:c r="A22" s="9" t="str">
        <x:v>强攻合剂 · 石南草批量配方</x:v>
      </x:c>
      <x:c r="B22" s="19" t="n">
        <x:v>1</x:v>
      </x:c>
      <x:c r="C22" s="19" t="n">
        <x:v>1</x:v>
      </x:c>
      <x:c r="D22" s="19" t="n">
        <x:v>0</x:v>
      </x:c>
      <x:c r="E22" s="19" t="n">
        <x:v>1</x:v>
      </x:c>
      <x:c r="F22" s="19" t="str">
        <x:v>银叶草</x:v>
      </x:c>
      <x:c r="G22" s="19" t="str">
        <x:v>—</x:v>
      </x:c>
      <x:c r="H22" s="19" t="n">
        <x:v>3</x:v>
      </x:c>
      <x:c r="I22" s="19" t="n">
        <x:v>10</x:v>
      </x:c>
      <x:c r="J22" s="19" t="n">
        <x:v>9</x:v>
      </x:c>
      <x:c r="K22" s="9" t="str">
        <x:v>通关 烛井矿窟 ×1</x:v>
      </x:c>
      <x:c r="L22" s="16" t="n">
        <x:f>(B22*'药田'!M6+C22*'药田'!M7)/H22</x:f>
        <x:v>5</x:v>
      </x:c>
      <x:c r="M22" s="16" t="str">
        <x:v>不可测</x:v>
      </x:c>
      <x:c r="N22" s="16" t="str">
        <x:v>不可测</x:v>
      </x:c>
      <x:c r="O22" s="16" t="n">
        <x:f>3600/I22*H22</x:f>
        <x:v>1080</x:v>
      </x:c>
      <x:c r="P22" s="9" t="str">
        <x:v>旧石南草无当前可再生产来源；已知金耗不含石南草。</x:v>
      </x:c>
      <x:c r="Q22" s="9" t="str">
        <x:v>elwynn-assault-legacy-batch</x:v>
      </x:c>
      <x:c r="R22" s="9" t="str">
        <x:v>elwynn-assault-draught</x:v>
      </x:c>
    </x:row>
    <x:row r="23" ht="3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3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46" customHeight="1">
      <x:c r="A25" s="2" t="str">
        <x:v>产能口径</x:v>
      </x:c>
      <x:c r="B25" s="10" t="str">
        <x:v>四田瓶/小时＝4÷每瓶总占田小时。长期理想平均值，允许轮换药田、材料比例匹配且种子充足；实际整批收获，不等于每小时固定发瓶。</x:v>
      </x:c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2"/>
      <x:c r="R25" s="2"/>
    </x:row>
    <x:row r="26" ht="46" customHeight="1">
      <x:c r="A26" s="2" t="str">
        <x:v>生产瓶颈</x:v>
      </x:c>
      <x:c r="B26" s="10" t="str">
        <x:v>所有配方每批 10 秒；一名角色同时运行一个炼金任务，可与战斗、种植并行。连续任务最多 12 小时，缺材料停止且不自动恢复。</x:v>
      </x:c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2"/>
      <x:c r="R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3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3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</x:sheetData>
  <x:mergeCells>
    <x:mergeCell ref="B25:P25"/>
    <x:mergeCell ref="B26:P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18" hidden="0" customWidth="1"/>
    <x:col min="3" max="3" width="48" hidden="0" customWidth="1"/>
  </x:cols>
  <x:sheetData>
    <x:row r="1" ht="30" customHeight="1">
      <x:c r="A1" s="2"/>
      <x:c r="B1" s="2"/>
      <x:c r="C1" s="2"/>
    </x:row>
    <x:row r="2" ht="36" customHeight="1">
      <x:c r="A2" s="3" t="str">
        <x:v>实际执行规则与数值边界</x:v>
      </x:c>
      <x:c r="B2" s="2"/>
      <x:c r="C2" s="2"/>
    </x:row>
    <x:row r="3" ht="30" customHeight="1">
      <x:c r="A3" s="2"/>
      <x:c r="B3" s="2"/>
      <x:c r="C3" s="2"/>
    </x:row>
    <x:row r="4" ht="30" customHeight="1">
      <x:c r="A4" s="4" t="str">
        <x:v>来源：当前运行代码及配置；规则会影响药效、消耗和调参后的生效时间。</x:v>
      </x:c>
      <x:c r="B4" s="2"/>
      <x:c r="C4" s="2"/>
    </x:row>
    <x:row r="5" ht="42" customHeight="1">
      <x:c r="A5" s="7" t="str">
        <x:v>项目</x:v>
      </x:c>
      <x:c r="B5" s="7" t="str">
        <x:v>当前规则</x:v>
      </x:c>
      <x:c r="C5" s="7" t="str">
        <x:v>依据</x:v>
      </x:c>
    </x:row>
    <x:row r="6" ht="62" customHeight="1">
      <x:c r="A6" s="9" t="str">
        <x:v>资源归属</x:v>
      </x:c>
      <x:c r="B6" s="9" t="str">
        <x:v>药田、库存、金币与生产任务按角色独立。四块药田手动播种、收获、续种；成熟不腐烂。</x:v>
      </x:c>
      <x:c r="C6" s="9" t="str">
        <x:v>PlantingService / ProductionService</x:v>
      </x:c>
    </x:row>
    <x:row r="7" ht="62" customHeight="1">
      <x:c r="A7" s="10" t="str">
        <x:v>旧采集/专业</x:v>
      </x:c>
      <x:c r="B7" s="10" t="str">
        <x:v>旧定时采集已关闭，接口返回 410。生活专业经验和炼金等级不影响当前生产速度、收获或产量。</x:v>
      </x:c>
      <x:c r="C7" s="10" t="str">
        <x:v>GatheringController / Program</x:v>
      </x:c>
    </x:row>
    <x:row r="8" ht="62" customHeight="1">
      <x:c r="A8" s="9" t="str">
        <x:v>普通种子解锁</x:v>
      </x:c>
      <x:c r="B8" s="9" t="str">
        <x:v>宁神花：角色等级 1 且任意区域首场讨伐完成一次；区域特色草：等级 4 且对应战斗完成一次。</x:v>
      </x:c>
      <x:c r="C8" s="9" t="str">
        <x:v>Planting / Shop</x:v>
      </x:c>
    </x:row>
    <x:row r="9" ht="62" customHeight="1">
      <x:c r="A9" s="10" t="str">
        <x:v>稀有种子</x:v>
      </x:c>
      <x:c r="B9" s="10" t="str">
        <x:v>对应入口副本通关，实际参与的每个角色独立 20% 掉 1 粒。当前六个目标都是等级 8 可进入的入口副本；深层副本未配置。</x:v>
      </x:c>
      <x:c r="C9" s="10" t="str">
        <x:v>RareSeedService / world.json</x:v>
      </x:c>
    </x:row>
    <x:row r="10" ht="62" customHeight="1">
      <x:c r="A10" s="9" t="str">
        <x:v>稀有种植/强效配方</x:v>
      </x:c>
      <x:c r="B10" s="9" t="str">
        <x:v>持有稀有种子即可种植；种植配置中的最低等级 9 不在稀有种植时检查。强效配方则要求角色等级 9 及对应入口副本通关。</x:v>
      </x:c>
      <x:c r="C10" s="9" t="str">
        <x:v>PlantingService / ProductionService</x:v>
      </x:c>
    </x:row>
    <x:row r="11" ht="62" customHeight="1">
      <x:c r="A11" s="10" t="str">
        <x:v>炼金任务</x:v>
      </x:c>
      <x:c r="B11" s="10" t="str">
        <x:v>每角色一个任务，可与战斗并行。每批 10 秒；连续任务最多 12 小时；定量任务 1～4320 批。材料按完成批次扣除，缺材料任务停止，补货不自动恢复。</x:v>
      </x:c>
      <x:c r="C11" s="10" t="str">
        <x:v>ProductionService</x:v>
      </x:c>
    </x:row>
    <x:row r="12" ht="62" customHeight="1">
      <x:c r="A12" s="9" t="str">
        <x:v>配置变更的存量</x:v>
      </x:c>
      <x:c r="B12" s="9" t="str">
        <x:v>种下的药田保存产量和计时快照；启动后的炼金任务保存配方、产量和制作时间快照。以后调数值时，既有药田/任务不会立刻采用新配置。</x:v>
      </x:c>
      <x:c r="C12" s="9" t="str">
        <x:v>PlantingService / ProductionService</x:v>
      </x:c>
    </x:row>
    <x:row r="13" ht="62" customHeight="1">
      <x:c r="A13" s="10" t="str">
        <x:v>三个用药槽</x:v>
      </x:c>
      <x:c r="B13" s="10" t="str">
        <x:v>治疗药水 1 槽、战斗强化 1 槽、整场合剂 1 槽。治疗与强化能在同一回合使用，合剂首次存活参战回合自动消耗。</x:v>
      </x:c>
      <x:c r="C13" s="10" t="str">
        <x:v>ConsumableRules / BattleRoundExecutor</x:v>
      </x:c>
    </x:row>
    <x:row r="14" ht="62" customHeight="1">
      <x:c r="A14" s="9" t="str">
        <x:v>治疗药水</x:v>
      </x:c>
      <x:c r="B14" s="9" t="str">
        <x:v>每次完整副本尝试最多成功使用 2 次，跨波次累计；冷却 3 回合意味着最早隔 4 回合。自动阈值默认 HP≤50%，可配 1～100%。满血/死亡/无效不消耗。</x:v>
      </x:c>
      <x:c r="C14" s="9" t="str">
        <x:v>ConsumableRules / BattleRoundExecutor</x:v>
      </x:c>
    </x:row>
    <x:row r="15" ht="62" customHeight="1">
      <x:c r="A15" s="10" t="str">
        <x:v>治疗时机</x:v>
      </x:c>
      <x:c r="B15" s="10" t="str">
        <x:v>技能和普通攻击之后、敌人行动之前结算；敌人已死亡时跳过治疗。实际治疗以有效最大生命计算，再经等级衰减与受疗加成，且不会溢出血上限。</x:v>
      </x:c>
      <x:c r="C15" s="10" t="str">
        <x:v>BattleRoundExecutor</x:v>
      </x:c>
    </x:row>
    <x:row r="16" ht="62" customHeight="1">
      <x:c r="A16" s="9" t="str">
        <x:v>战斗强化</x:v>
      </x:c>
      <x:c r="B16" s="9" t="str">
        <x:v>持续 3 回合含使用当回合，冷却 5 回合最早隔 6 回合，无每场用量上限。自动开启时就绪即用；背水药剂额外固定要求 HP≤50%，不读取治疗阈值。</x:v>
      </x:c>
      <x:c r="C16" s="9" t="str">
        <x:v>BattleRoundExecutor.Consumables</x:v>
      </x:c>
    </x:row>
    <x:row r="17" ht="62" customHeight="1">
      <x:c r="A17" s="10" t="str">
        <x:v>长战斗耗量</x:v>
      </x:c>
      <x:c r="B17" s="10" t="str">
        <x:v>自动回合 20 秒；忽略波次等待与结束空档时，连续战斗约 180 回合/小时，强化每 6 回合约 30 瓶/小时、理论覆盖 50%。新尝试重置冷却；短副本不能直接套用该耗量。</x:v>
      </x:c>
      <x:c r="C17" s="10" t="str">
        <x:v>BattleRules / DungeonRunLifecycleService</x:v>
      </x:c>
    </x:row>
    <x:row r="18" ht="62" customHeight="1">
      <x:c r="A18" s="9" t="str">
        <x:v>整场合剂</x:v>
      </x:c>
      <x:c r="B18" s="9" t="str">
        <x:v>首次存活参战回合用 1 瓶，跨整个副本尝试持续；不读取自动使用开关。首次缺货会记录本场跳过，途中补库存不补用；新的尝试重新消耗。</x:v>
      </x:c>
      <x:c r="C18" s="9" t="str">
        <x:v>BattleRoundExecutor.Consumables</x:v>
      </x:c>
    </x:row>
    <x:row r="19" ht="62" customHeight="1">
      <x:c r="A19" s="10" t="str">
        <x:v>不同档位冷却</x:v>
      </x:c>
      <x:c r="B19" s="10" t="str">
        <x:v>同家族共用冷却组；更换次级、普通、强效不能绕过冷却。新尝试重置药水冷却、强化状态和治疗次数。</x:v>
      </x:c>
      <x:c r="C19" s="10" t="str">
        <x:v>Consumables / DungeonRunLifecycleService</x:v>
      </x:c>
    </x:row>
    <x:row r="20" ht="62" customHeight="1">
      <x:c r="A20" s="9" t="str">
        <x:v>等级衰减</x:v>
      </x:c>
      <x:c r="B20" s="9" t="str">
        <x:v>当前全部 T1：等级 1～10 为 100%，11～20 为 75%，21～30 为 25%，31+ 不生效。整数百分比向下取整；临时技能等级四舍五入（0.5 向上）。燃血承伤参数不衰减。</x:v>
      </x:c>
      <x:c r="C20" s="9" t="str">
        <x:v>ConsumableRules</x:v>
      </x:c>
    </x:row>
    <x:row r="21" ht="62" customHeight="1">
      <x:c r="A21" s="10" t="str">
        <x:v>技能等级折算</x:v>
      </x:c>
      <x:c r="B21" s="10" t="str">
        <x:v>强化增加已有武器技能等级，与装备共同参与效果上限。Lv3 攻击中＝攻击 +7.5%；Lv3 神威＝攻击 +4.5%、最大生命 +6%；Lv3 战技＝攻击 +4.5%、技能伤害 +3%。</x:v>
      </x:c>
      <x:c r="C21" s="10" t="str">
        <x:v>Weapons / BattleConsumableBonusCalculator</x:v>
      </x:c>
    </x:row>
    <x:row r="22" ht="62" customHeight="1">
      <x:c r="A22" s="9" t="str">
        <x:v>背水/神威</x:v>
      </x:c>
      <x:c r="B22" s="9" t="str">
        <x:v>背水 HP＜50% 才生效，HP=25% 时为技能背水系数的一半。神威提升最大生命但不会直接加血；到期后当前 HP 超过新上限会被截断。</x:v>
      </x:c>
      <x:c r="C22" s="9" t="str">
        <x:v>WeaponCatalog / BattleConsumableBonusCalculator</x:v>
      </x:c>
    </x:row>
    <x:row r="23" ht="62" customHeight="1">
      <x:c r="A23" s="10" t="str">
        <x:v>攻击与最终伤害</x:v>
      </x:c>
      <x:c r="B23" s="10" t="str">
        <x:v>攻击百分比与装备等攻击加成在同一区域叠加；最终伤害在直伤最终乘区增加。标称百分比不能直接当成实际 DPS 的相同比例。</x:v>
      </x:c>
      <x:c r="C23" s="10" t="str">
        <x:v>BattleDamageService / DamageCalculator</x:v>
      </x:c>
    </x:row>
    <x:row r="24" ht="62" customHeight="1">
      <x:c r="A24" s="9" t="str">
        <x:v>燃血承伤语义</x:v>
      </x:c>
      <x:c r="B24" s="9" t="str">
        <x:v>配置和文本是承伤 +5%，实际执行从已有减伤中减去 5 个百分点：例如 30% 减伤变 25%，受伤由原伤害的 70% 变 75%。</x:v>
      </x:c>
      <x:c r="C24" s="9" t="str">
        <x:v>BattleDamageService</x:v>
      </x:c>
    </x:row>
    <x:row r="25" ht="62" customHeight="1">
      <x:c r="A25" s="10" t="str">
        <x:v>旧石南草配方</x:v>
      </x:c>
      <x:c r="B25" s="10" t="str">
        <x:v>保留 1 宁神花＋1 银叶草＋1 石南草 → 3 瓶普通强攻合剂的兼容配方；当前石南草没有种植来源，不计入可持续供给。</x:v>
      </x:c>
      <x:c r="C25" s="10" t="str">
        <x:v>Production / Planting</x:v>
      </x:c>
    </x:row>
    <x:row r="26" ht="62" customHeight="1">
      <x:c r="A26" s="9" t="str">
        <x:v>地域差异</x:v>
      </x:c>
      <x:c r="B26" s="9" t="str">
        <x:v>宁神花和磨刃有跨区域解锁替代目标；岩芽战意、行旅治疗药水仍绑定岩芽林地目标。调整通用补给时需核对这项差异。</x:v>
      </x:c>
      <x:c r="C26" s="9" t="str">
        <x:v>Production / Shop</x:v>
      </x:c>
    </x:row>
    <x:row r="27" ht="62" customHeight="1">
      <x:c r="A27" s="10" t="str">
        <x:v>成本边界</x:v>
      </x:c>
      <x:c r="B27" s="10" t="str">
        <x:v>商店只售次级药剂，种植炼金产出普通/强效。已知种子金耗不等于完整成本；稀有材料不出售，不应把 SeedPrice=0 解释成免费材料。</x:v>
      </x:c>
      <x:c r="C27" s="10" t="str">
        <x:v>Shop / Production / Planting</x:v>
      </x:c>
    </x:row>
    <x:row r="28" ht="30" customHeight="1">
      <x:c r="A28" s="2"/>
      <x:c r="B28" s="2"/>
      <x:c r="C28" s="2"/>
    </x:row>
    <x:row r="29" ht="30" customHeight="1">
      <x:c r="A29" s="2"/>
      <x:c r="B29" s="2"/>
      <x:c r="C29" s="2"/>
    </x:row>
    <x:row r="30" ht="30" customHeight="1">
      <x:c r="A30" s="2"/>
      <x:c r="B30" s="2"/>
      <x:c r="C30" s="2"/>
    </x:row>
    <x:row r="31" ht="30" customHeight="1">
      <x:c r="A31" s="2"/>
      <x:c r="B31" s="2"/>
      <x:c r="C31" s="2"/>
    </x:row>
    <x:row r="32" ht="30" customHeight="1">
      <x:c r="A32" s="2"/>
      <x:c r="B32" s="2"/>
      <x:c r="C32" s="2"/>
    </x:row>
  </x:sheetData>
  <x:pageMargins left="0.7" right="0.7" top="0.75" bottom="0.75" header="0.3" footer="0.3"/>
</x:worksheet>
</file>